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F006F86-5B04-42AC-B4E7-AFCB7B8ABFF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shboard" sheetId="2" r:id="rId1"/>
    <sheet name="Fechamento 7Pay" sheetId="6" r:id="rId2"/>
    <sheet name="Fechamento Sipag" sheetId="7" r:id="rId3"/>
    <sheet name="Vendas 7Pay" sheetId="1" r:id="rId4"/>
    <sheet name="Vendas Sipag" sheetId="3" r:id="rId5"/>
    <sheet name="Configuração" sheetId="8" r:id="rId6"/>
  </sheets>
  <definedNames>
    <definedName name="DadosExternos_1" localSheetId="5" hidden="1">Configuração!#REF!</definedName>
    <definedName name="DadosExternos_1" localSheetId="1" hidden="1">'Fechamento 7Pay'!$A$6:$D$87</definedName>
    <definedName name="DadosExternos_1" localSheetId="2" hidden="1">'Fechamento Sipag'!$A$6:$C$120</definedName>
  </definedNames>
  <calcPr calcId="191029"/>
  <pivotCaches>
    <pivotCache cacheId="26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2" l="1"/>
  <c r="H25" i="2" l="1"/>
  <c r="H22" i="2"/>
  <c r="C4" i="6"/>
  <c r="W29" i="2" s="1"/>
  <c r="C3" i="6"/>
  <c r="W35" i="2" s="1"/>
  <c r="C2" i="6"/>
  <c r="W32" i="2" s="1"/>
  <c r="D28" i="2" l="1"/>
  <c r="D32" i="2" l="1"/>
  <c r="C4" i="7"/>
  <c r="C3" i="7"/>
  <c r="W19" i="2" s="1"/>
  <c r="C2" i="7"/>
  <c r="F16" i="2" l="1"/>
  <c r="H16" i="2" s="1"/>
  <c r="W16" i="2"/>
  <c r="F13" i="2"/>
  <c r="W13" i="2"/>
  <c r="C5" i="7"/>
  <c r="W22" i="2" s="1"/>
  <c r="F19" i="2"/>
  <c r="H19" i="2" s="1"/>
  <c r="H13" i="2"/>
  <c r="C5" i="6"/>
  <c r="W38" i="2" s="1"/>
  <c r="F28" i="2" l="1"/>
  <c r="H28" i="2" l="1"/>
  <c r="G3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dos_do_Grafico" description="Conexão com a consulta 'Dados_do_Grafico' na pasta de trabalho." type="5" refreshedVersion="8" background="1">
    <dbPr connection="Provider=Microsoft.Mashup.OleDb.1;Data Source=$Workbook$;Location=Dados_do_Grafico;Extended Properties=&quot;&quot;" command="SELECT * FROM [Dados_do_Grafico]"/>
  </connection>
  <connection id="2" xr16:uid="{00000000-0015-0000-FFFF-FFFF01000000}" keepAlive="1" name="Consulta - Filtro_Periodo" description="Conexão com a consulta 'Filtro_Periodo' na pasta de trabalho." type="5" refreshedVersion="0" background="1">
    <dbPr connection="Provider=Microsoft.Mashup.OleDb.1;Data Source=$Workbook$;Location=Filtro_Periodo;Extended Properties=&quot;&quot;" command="SELECT * FROM [Filtro_Periodo]"/>
  </connection>
  <connection id="3" xr16:uid="{00000000-0015-0000-FFFF-FFFF02000000}" keepAlive="1" name="Consulta - Tabela_7Pay" description="Conexão com a consulta 'Tabela_7Pay' na pasta de trabalho." type="5" refreshedVersion="8" background="1" saveData="1">
    <dbPr connection="Provider=Microsoft.Mashup.OleDb.1;Data Source=$Workbook$;Location=Tabela_7Pay;Extended Properties=&quot;&quot;" command="SELECT * FROM [Tabela_7Pay]"/>
  </connection>
  <connection id="4" xr16:uid="{00000000-0015-0000-FFFF-FFFF03000000}" keepAlive="1" name="Consulta - Tabela_Sipag" description="Conexão com a consulta 'Tabela_Sipag' na pasta de trabalho." type="5" refreshedVersion="8" background="1" saveData="1">
    <dbPr connection="Provider=Microsoft.Mashup.OleDb.1;Data Source=$Workbook$;Location=Tabela_Sipag;Extended Properties=&quot;&quot;" command="SELECT * FROM [Tabela_Sipag]"/>
  </connection>
</connections>
</file>

<file path=xl/sharedStrings.xml><?xml version="1.0" encoding="utf-8"?>
<sst xmlns="http://schemas.openxmlformats.org/spreadsheetml/2006/main" count="1517" uniqueCount="259">
  <si>
    <t>NOME EMPRESA</t>
  </si>
  <si>
    <t>ULTIMOS 4 DIGITOS DO CARTÃO</t>
  </si>
  <si>
    <t>BANDEIRA CARTAO</t>
  </si>
  <si>
    <t>PORTADOR CARTAO</t>
  </si>
  <si>
    <t>DATA DA VENDA</t>
  </si>
  <si>
    <t>NUMERO PARCELAS</t>
  </si>
  <si>
    <t>MODO CAPTURA</t>
  </si>
  <si>
    <t>TIPO VENDA</t>
  </si>
  <si>
    <t>VALOR BRUTO</t>
  </si>
  <si>
    <t>DESCRIÇÃO EXTRATO</t>
  </si>
  <si>
    <t>VALOR LIQUIDO</t>
  </si>
  <si>
    <t>STATUS</t>
  </si>
  <si>
    <t>CPF / CNPJ</t>
  </si>
  <si>
    <t>ID SELLER ZOOP</t>
  </si>
  <si>
    <t>ID TRANSAÇÃO ZOOP</t>
  </si>
  <si>
    <t>VALIDADE DO CARTAO</t>
  </si>
  <si>
    <t>VALOR TAXA</t>
  </si>
  <si>
    <t>ID</t>
  </si>
  <si>
    <t>NUMERO IDENTIFICADOR ENTRADA</t>
  </si>
  <si>
    <t/>
  </si>
  <si>
    <t>N/A</t>
  </si>
  <si>
    <t>Presencial</t>
  </si>
  <si>
    <t>1</t>
  </si>
  <si>
    <t>pix</t>
  </si>
  <si>
    <t>Aprovado</t>
  </si>
  <si>
    <t>MAESTRO</t>
  </si>
  <si>
    <t>Debito</t>
  </si>
  <si>
    <t>VISA ELECTRON</t>
  </si>
  <si>
    <t>MASTERCARD</t>
  </si>
  <si>
    <t>Credito</t>
  </si>
  <si>
    <t>VISA</t>
  </si>
  <si>
    <t>Cancelado</t>
  </si>
  <si>
    <t>LIQUIDADA</t>
  </si>
  <si>
    <t>Débito</t>
  </si>
  <si>
    <t>Crédito</t>
  </si>
  <si>
    <t>Total plano de venda</t>
  </si>
  <si>
    <t>Forma de Pagamento</t>
  </si>
  <si>
    <t>Data da transação</t>
  </si>
  <si>
    <t>Pix</t>
  </si>
  <si>
    <t>FECHAMENTO 7PAY</t>
  </si>
  <si>
    <t>TOTAL MÁQUINA:</t>
  </si>
  <si>
    <t>FECHAMENTO SIPAG</t>
  </si>
  <si>
    <t>CRÉDITO:</t>
  </si>
  <si>
    <t>DÉBITO:</t>
  </si>
  <si>
    <t>PIX:</t>
  </si>
  <si>
    <t>Data Final</t>
  </si>
  <si>
    <t>Coluna1</t>
  </si>
  <si>
    <t>Coluna2</t>
  </si>
  <si>
    <t>Data Inicial</t>
  </si>
  <si>
    <t>Variação</t>
  </si>
  <si>
    <t>Sistema</t>
  </si>
  <si>
    <t>Total</t>
  </si>
  <si>
    <t>Dinheiro</t>
  </si>
  <si>
    <t>Pg Online</t>
  </si>
  <si>
    <t>Dashboard Fechamento</t>
  </si>
  <si>
    <t>Maquinas</t>
  </si>
  <si>
    <t>TM</t>
  </si>
  <si>
    <t>Lotação</t>
  </si>
  <si>
    <t>Bilheteria</t>
  </si>
  <si>
    <t>Rótulos de Linha</t>
  </si>
  <si>
    <t>Total Geral</t>
  </si>
  <si>
    <t>Vendas 7Pay</t>
  </si>
  <si>
    <t>Variação (%)</t>
  </si>
  <si>
    <t>2026-05-28 00:04:36</t>
  </si>
  <si>
    <t>2026-05-28 00:11:20</t>
  </si>
  <si>
    <t>2026-05-28 00:15:06</t>
  </si>
  <si>
    <t>2026-05-28 00:30:28</t>
  </si>
  <si>
    <t>2026-05-28 00:34:57</t>
  </si>
  <si>
    <t>2026-05-28 00:56:47</t>
  </si>
  <si>
    <t>2026-05-28 00:57:51</t>
  </si>
  <si>
    <t>2026-05-28 01:00:08</t>
  </si>
  <si>
    <t>2026-05-28 01:00:53</t>
  </si>
  <si>
    <t>2026-05-28 01:01:18</t>
  </si>
  <si>
    <t>2026-05-28 21:51:28</t>
  </si>
  <si>
    <t>2026-05-28 21:59:11</t>
  </si>
  <si>
    <t>2026-05-28 22:14:05</t>
  </si>
  <si>
    <t>2026-05-28 22:14:52</t>
  </si>
  <si>
    <t>2026-05-28 22:30:53</t>
  </si>
  <si>
    <t>2026-05-28 22:31:31</t>
  </si>
  <si>
    <t>2026-05-28 22:32:27</t>
  </si>
  <si>
    <t>2026-05-28 22:33:39</t>
  </si>
  <si>
    <t>2026-05-28 22:34:25</t>
  </si>
  <si>
    <t>2026-05-28 22:45:08</t>
  </si>
  <si>
    <t>2026-05-28 22:53:25</t>
  </si>
  <si>
    <t>2026-05-28 22:55:32</t>
  </si>
  <si>
    <t>2026-05-28 23:03:04</t>
  </si>
  <si>
    <t>2026-05-28 23:03:13</t>
  </si>
  <si>
    <t>2026-05-28 23:09:37</t>
  </si>
  <si>
    <t>2026-05-28 23:19:27</t>
  </si>
  <si>
    <t>2026-05-28 23:21:26</t>
  </si>
  <si>
    <t>2026-05-28 23:22:22</t>
  </si>
  <si>
    <t>2026-05-28 23:24:27</t>
  </si>
  <si>
    <t>2026-05-28 23:26:08</t>
  </si>
  <si>
    <t>2026-05-28 23:30:03</t>
  </si>
  <si>
    <t>2026-05-28 23:30:52</t>
  </si>
  <si>
    <t>2026-05-28 23:31:30</t>
  </si>
  <si>
    <t>2026-05-28 23:32:49</t>
  </si>
  <si>
    <t>2026-05-28 23:33:36</t>
  </si>
  <si>
    <t>2026-05-28 23:35:44</t>
  </si>
  <si>
    <t>2026-05-28 23:36:18</t>
  </si>
  <si>
    <t>2026-05-28 23:36:55</t>
  </si>
  <si>
    <t>2026-05-28 23:37:32</t>
  </si>
  <si>
    <t>2026-05-28 23:40:17</t>
  </si>
  <si>
    <t>2026-05-28 23:41:03</t>
  </si>
  <si>
    <t>2026-05-28 23:41:45</t>
  </si>
  <si>
    <t>2026-05-28 23:42:26</t>
  </si>
  <si>
    <t>2026-05-28 23:43:49</t>
  </si>
  <si>
    <t>2026-05-28 23:44:28</t>
  </si>
  <si>
    <t>2026-05-28 23:46:54</t>
  </si>
  <si>
    <t>2026-05-28 23:47:19</t>
  </si>
  <si>
    <t>2026-05-28 23:50:15</t>
  </si>
  <si>
    <t>2026-05-28 23:50:42</t>
  </si>
  <si>
    <t>2026-05-28 23:51:12</t>
  </si>
  <si>
    <t>2026-05-28 23:51:44</t>
  </si>
  <si>
    <t>2026-05-28 23:52:53</t>
  </si>
  <si>
    <t>2026-05-28 23:54:57</t>
  </si>
  <si>
    <t>2026-05-28 23:54:58</t>
  </si>
  <si>
    <t>2026-05-28 23:57:07</t>
  </si>
  <si>
    <t>2026-05-28 23:58:25</t>
  </si>
  <si>
    <t>2026-05-28 23:59:00</t>
  </si>
  <si>
    <t>2026-05-29 00:06:11</t>
  </si>
  <si>
    <t>2026-05-29 00:08:35</t>
  </si>
  <si>
    <t>2026-05-29 00:10:20</t>
  </si>
  <si>
    <t>2026-05-29 00:12:32</t>
  </si>
  <si>
    <t>2026-05-29 00:18:32</t>
  </si>
  <si>
    <t>2026-05-29 00:19:55</t>
  </si>
  <si>
    <t>2026-05-29 00:21:33</t>
  </si>
  <si>
    <t>2026-05-29 00:22:24</t>
  </si>
  <si>
    <t>2026-05-29 00:38:10</t>
  </si>
  <si>
    <t>2026-05-29 00:46:26</t>
  </si>
  <si>
    <t>2026-05-29 00:47:34</t>
  </si>
  <si>
    <t>2026-05-29 00:48:10</t>
  </si>
  <si>
    <t>2026-05-29 00:49:01</t>
  </si>
  <si>
    <t>2026-05-29 00:49:40</t>
  </si>
  <si>
    <t>2026-05-29 00:50:07</t>
  </si>
  <si>
    <t>2026-05-29 00:53:22</t>
  </si>
  <si>
    <t>2026-05-29 00:54:18</t>
  </si>
  <si>
    <t>2026-05-29 00:57:07</t>
  </si>
  <si>
    <t>2026-05-29 00:58:15</t>
  </si>
  <si>
    <t>2026-05-29 00:59:24</t>
  </si>
  <si>
    <t>2026-05-29 01:04:00</t>
  </si>
  <si>
    <t>2026-05-29 01:11:53</t>
  </si>
  <si>
    <t>2026-05-29 01:17:57</t>
  </si>
  <si>
    <t>2026-05-29 01:18:28</t>
  </si>
  <si>
    <t>2026-05-29 01:24:03</t>
  </si>
  <si>
    <t>2026-05-29 01:25:57</t>
  </si>
  <si>
    <t>2026-05-29 01:29:16</t>
  </si>
  <si>
    <t>2026-05-29 01:36:46</t>
  </si>
  <si>
    <t>2026-05-29 01:38:40</t>
  </si>
  <si>
    <t>2026-05-29 01:44:57</t>
  </si>
  <si>
    <t>2026-05-29 01:46:06</t>
  </si>
  <si>
    <t>2026-05-29 01:46:59</t>
  </si>
  <si>
    <t>2026-05-29 01:51:06</t>
  </si>
  <si>
    <t>2026-05-29 01:52:53</t>
  </si>
  <si>
    <t>2026-05-29 01:53:48</t>
  </si>
  <si>
    <t>2026-05-29 01:54:31</t>
  </si>
  <si>
    <t>2026-05-29 01:58:06</t>
  </si>
  <si>
    <t>1abcdef2345ghij6klmno789</t>
  </si>
  <si>
    <t>1abcdef2345ghij6klmno790</t>
  </si>
  <si>
    <t>1abcdef2345ghij6klmno791</t>
  </si>
  <si>
    <t>1abcdef2345ghij6klmno792</t>
  </si>
  <si>
    <t>1abcdef2345ghij6klmno793</t>
  </si>
  <si>
    <t>1abcdef2345ghij6klmno794</t>
  </si>
  <si>
    <t>1abcdef2345ghij6klmno795</t>
  </si>
  <si>
    <t>1abcdef2345ghij6klmno796</t>
  </si>
  <si>
    <t>1abcdef2345ghij6klmno797</t>
  </si>
  <si>
    <t>1abcdef2345ghij6klmno798</t>
  </si>
  <si>
    <t>1abcdef2345ghij6klmno799</t>
  </si>
  <si>
    <t>1abcdef2345ghij6klmno800</t>
  </si>
  <si>
    <t>1abcdef2345ghij6klmno801</t>
  </si>
  <si>
    <t>1abcdef2345ghij6klmno802</t>
  </si>
  <si>
    <t>1abcdef2345ghij6klmno803</t>
  </si>
  <si>
    <t>1abcdef2345ghij6klmno804</t>
  </si>
  <si>
    <t>1abcdef2345ghij6klmno805</t>
  </si>
  <si>
    <t>1abcdef2345ghij6klmno806</t>
  </si>
  <si>
    <t>1abcdef2345ghij6klmno807</t>
  </si>
  <si>
    <t>1abcdef2345ghij6klmno808</t>
  </si>
  <si>
    <t>1abcdef2345ghij6klmno809</t>
  </si>
  <si>
    <t>1abcdef2345ghij6klmno810</t>
  </si>
  <si>
    <t>1abcdef2345ghij6klmno811</t>
  </si>
  <si>
    <t>1abcdef2345ghij6klmno812</t>
  </si>
  <si>
    <t>1abcdef2345ghij6klmno813</t>
  </si>
  <si>
    <t>1abcdef2345ghij6klmno814</t>
  </si>
  <si>
    <t>1abcdef2345ghij6klmno815</t>
  </si>
  <si>
    <t>1abcdef2345ghij6klmno816</t>
  </si>
  <si>
    <t>1abcdef2345ghij6klmno817</t>
  </si>
  <si>
    <t>1abcdef2345ghij6klmno818</t>
  </si>
  <si>
    <t>1abcdef2345ghij6klmno819</t>
  </si>
  <si>
    <t>1abcdef2345ghij6klmno820</t>
  </si>
  <si>
    <t>1abcdef2345ghij6klmno821</t>
  </si>
  <si>
    <t>1abcdef2345ghij6klmno822</t>
  </si>
  <si>
    <t>1abcdef2345ghij6klmno823</t>
  </si>
  <si>
    <t>1abcdef2345ghij6klmno824</t>
  </si>
  <si>
    <t>1abcdef2345ghij6klmno825</t>
  </si>
  <si>
    <t>1abcdef2345ghij6klmno826</t>
  </si>
  <si>
    <t>1abcdef2345ghij6klmno827</t>
  </si>
  <si>
    <t>1abcdef2345ghij6klmno828</t>
  </si>
  <si>
    <t>1abcdef2345ghij6klmno829</t>
  </si>
  <si>
    <t>1abcdef2345ghij6klmno830</t>
  </si>
  <si>
    <t>1abcdef2345ghij6klmno831</t>
  </si>
  <si>
    <t>1abcdef2345ghij6klmno832</t>
  </si>
  <si>
    <t>1abcdef2345ghij6klmno833</t>
  </si>
  <si>
    <t>1abcdef2345ghij6klmno834</t>
  </si>
  <si>
    <t>1abcdef2345ghij6klmno835</t>
  </si>
  <si>
    <t>1abcdef2345ghij6klmno836</t>
  </si>
  <si>
    <t>1abcdef2345ghij6klmno837</t>
  </si>
  <si>
    <t>1abcdef2345ghij6klmno838</t>
  </si>
  <si>
    <t>1abcdef2345ghij6klmno839</t>
  </si>
  <si>
    <t>1abcdef2345ghij6klmno840</t>
  </si>
  <si>
    <t>1abcdef2345ghij6klmno841</t>
  </si>
  <si>
    <t>1abcdef2345ghij6klmno842</t>
  </si>
  <si>
    <t>1abcdef2345ghij6klmno843</t>
  </si>
  <si>
    <t>1abcdef2345ghij6klmno844</t>
  </si>
  <si>
    <t>1abcdef2345ghij6klmno845</t>
  </si>
  <si>
    <t>1abcdef2345ghij6klmno846</t>
  </si>
  <si>
    <t>1abcdef2345ghij6klmno847</t>
  </si>
  <si>
    <t>1abcdef2345ghij6klmno848</t>
  </si>
  <si>
    <t>1abcdef2345ghij6klmno849</t>
  </si>
  <si>
    <t>1abcdef2345ghij6klmno850</t>
  </si>
  <si>
    <t>1abcdef2345ghij6klmno851</t>
  </si>
  <si>
    <t>1abcdef2345ghij6klmno852</t>
  </si>
  <si>
    <t>1abcdef2345ghij6klmno853</t>
  </si>
  <si>
    <t>1abcdef2345ghij6klmno854</t>
  </si>
  <si>
    <t>1abcdef2345ghij6klmno855</t>
  </si>
  <si>
    <t>1abcdef2345ghij6klmno856</t>
  </si>
  <si>
    <t>1abcdef2345ghij6klmno857</t>
  </si>
  <si>
    <t>1abcdef2345ghij6klmno858</t>
  </si>
  <si>
    <t>1abcdef2345ghij6klmno859</t>
  </si>
  <si>
    <t>1abcdef2345ghij6klmno860</t>
  </si>
  <si>
    <t>1abcdef2345ghij6klmno861</t>
  </si>
  <si>
    <t>1abcdef2345ghij6klmno862</t>
  </si>
  <si>
    <t>1abcdef2345ghij6klmno863</t>
  </si>
  <si>
    <t>1abcdef2345ghij6klmno864</t>
  </si>
  <si>
    <t>1abcdef2345ghij6klmno865</t>
  </si>
  <si>
    <t>1abcdef2345ghij6klmno866</t>
  </si>
  <si>
    <t>1abcdef2345ghij6klmno867</t>
  </si>
  <si>
    <t>1abcdef2345ghij6klmno868</t>
  </si>
  <si>
    <t>1abcdef2345ghij6klmno869</t>
  </si>
  <si>
    <t>1abcdef2345ghij6klmno870</t>
  </si>
  <si>
    <t>1abcdef2345ghij6klmno871</t>
  </si>
  <si>
    <t>1abcdef2345ghij6klmno872</t>
  </si>
  <si>
    <t>1abcdef2345ghij6klmno873</t>
  </si>
  <si>
    <t>1abcdef2345ghij6klmno874</t>
  </si>
  <si>
    <t>1abcdef2345ghij6klmno875</t>
  </si>
  <si>
    <t>1abcdef2345ghij6klmno876</t>
  </si>
  <si>
    <t>1abcdef2345ghij6klmno877</t>
  </si>
  <si>
    <t>1abcdef2345ghij6klmno878</t>
  </si>
  <si>
    <t>1abcdef2345ghij6klmno879</t>
  </si>
  <si>
    <t>1abcdef2345ghij6klmno880</t>
  </si>
  <si>
    <t>1abcdef2345ghij6klmno881</t>
  </si>
  <si>
    <t>1abcdef2345ghij6klmno882</t>
  </si>
  <si>
    <t>1abcdef2345ghij6klmno883</t>
  </si>
  <si>
    <t>LOJA PUB</t>
  </si>
  <si>
    <t>ESTABELECIMENTO</t>
  </si>
  <si>
    <t>2026-05-29 01:58:07</t>
  </si>
  <si>
    <t>2</t>
  </si>
  <si>
    <t xml:space="preserve">FECHAMENTO SIPAG </t>
  </si>
  <si>
    <t>Vendas Sipag</t>
  </si>
  <si>
    <t xml:space="preserve">FECHAMENTO 7PAY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</si>
</sst>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h:mm;@"/>
    <numFmt numFmtId="166" formatCode="&quot;R$&quot;\ #,##0.00"/>
    <numFmt numFmtId="169" formatCode="h&quot;h&quot;"/>
  </numFmts>
  <fonts count="1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mbria"/>
      <family val="1"/>
    </font>
    <font>
      <sz val="8"/>
      <name val="Calibri"/>
      <family val="2"/>
      <scheme val="minor"/>
    </font>
    <font>
      <sz val="72"/>
      <color theme="0"/>
      <name val="Eras Demi ITC"/>
      <family val="2"/>
    </font>
    <font>
      <sz val="48"/>
      <color theme="0"/>
      <name val="Eras Demi ITC"/>
      <family val="2"/>
    </font>
    <font>
      <b/>
      <sz val="22"/>
      <color theme="0"/>
      <name val="Cambria"/>
      <family val="1"/>
    </font>
    <font>
      <sz val="18"/>
      <color theme="0"/>
      <name val="Cambria"/>
      <family val="1"/>
    </font>
    <font>
      <sz val="22"/>
      <color theme="0"/>
      <name val="Cambria"/>
      <family val="1"/>
    </font>
    <font>
      <sz val="16"/>
      <color theme="0"/>
      <name val="Cambria"/>
      <family val="1"/>
    </font>
    <font>
      <b/>
      <sz val="20"/>
      <color theme="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2"/>
    <xf numFmtId="8" fontId="3" fillId="0" borderId="0" xfId="2" applyNumberFormat="1"/>
    <xf numFmtId="22" fontId="3" fillId="0" borderId="0" xfId="2" applyNumberFormat="1"/>
    <xf numFmtId="22" fontId="0" fillId="0" borderId="0" xfId="0" applyNumberFormat="1"/>
    <xf numFmtId="0" fontId="5" fillId="4" borderId="0" xfId="0" applyFont="1" applyFill="1" applyAlignment="1">
      <alignment horizontal="left" vertical="center"/>
    </xf>
    <xf numFmtId="44" fontId="0" fillId="2" borderId="0" xfId="1" applyFont="1" applyFill="1" applyAlignment="1">
      <alignment vertical="center"/>
    </xf>
    <xf numFmtId="44" fontId="0" fillId="3" borderId="0" xfId="1" applyFont="1" applyFill="1" applyAlignment="1">
      <alignment vertical="center"/>
    </xf>
    <xf numFmtId="44" fontId="7" fillId="5" borderId="0" xfId="1" applyFont="1" applyFill="1" applyAlignment="1">
      <alignment vertical="center"/>
    </xf>
    <xf numFmtId="44" fontId="7" fillId="6" borderId="0" xfId="1" applyFont="1" applyFill="1" applyAlignment="1">
      <alignment vertical="center"/>
    </xf>
    <xf numFmtId="14" fontId="0" fillId="0" borderId="0" xfId="0" applyNumberFormat="1"/>
    <xf numFmtId="44" fontId="0" fillId="5" borderId="0" xfId="1" applyFont="1" applyFill="1" applyAlignment="1">
      <alignment horizontal="center" vertical="center"/>
    </xf>
    <xf numFmtId="44" fontId="0" fillId="6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0" fontId="1" fillId="0" borderId="0" xfId="2" applyFont="1"/>
    <xf numFmtId="22" fontId="0" fillId="0" borderId="0" xfId="0" applyNumberFormat="1" applyProtection="1">
      <protection locked="0"/>
    </xf>
    <xf numFmtId="164" fontId="0" fillId="0" borderId="0" xfId="0" applyNumberFormat="1" applyAlignment="1">
      <alignment horizontal="left"/>
    </xf>
    <xf numFmtId="1" fontId="0" fillId="0" borderId="0" xfId="0" applyNumberFormat="1"/>
    <xf numFmtId="44" fontId="7" fillId="3" borderId="0" xfId="1" applyFont="1" applyFill="1" applyAlignment="1">
      <alignment horizontal="center" vertical="center"/>
    </xf>
    <xf numFmtId="44" fontId="7" fillId="2" borderId="0" xfId="1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NumberFormat="1"/>
    <xf numFmtId="0" fontId="7" fillId="4" borderId="0" xfId="0" applyFont="1" applyFill="1"/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8" fillId="4" borderId="0" xfId="0" applyFont="1" applyFill="1" applyBorder="1"/>
    <xf numFmtId="0" fontId="12" fillId="4" borderId="0" xfId="0" applyFont="1" applyFill="1" applyBorder="1" applyAlignment="1">
      <alignment horizontal="center" vertical="center"/>
    </xf>
    <xf numFmtId="0" fontId="7" fillId="4" borderId="0" xfId="0" applyFont="1" applyFill="1" applyBorder="1"/>
    <xf numFmtId="0" fontId="7" fillId="4" borderId="1" xfId="0" applyFont="1" applyFill="1" applyBorder="1"/>
    <xf numFmtId="0" fontId="12" fillId="4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/>
    </xf>
    <xf numFmtId="0" fontId="14" fillId="4" borderId="0" xfId="0" applyFont="1" applyFill="1" applyBorder="1"/>
    <xf numFmtId="44" fontId="15" fillId="4" borderId="0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left"/>
    </xf>
    <xf numFmtId="0" fontId="7" fillId="4" borderId="3" xfId="0" applyFont="1" applyFill="1" applyBorder="1"/>
    <xf numFmtId="0" fontId="7" fillId="4" borderId="4" xfId="0" applyFont="1" applyFill="1" applyBorder="1"/>
    <xf numFmtId="0" fontId="7" fillId="4" borderId="5" xfId="0" applyFont="1" applyFill="1" applyBorder="1"/>
    <xf numFmtId="0" fontId="7" fillId="4" borderId="2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8" xfId="0" applyFont="1" applyFill="1" applyBorder="1"/>
    <xf numFmtId="0" fontId="7" fillId="4" borderId="9" xfId="0" applyFont="1" applyFill="1" applyBorder="1"/>
    <xf numFmtId="0" fontId="7" fillId="4" borderId="10" xfId="0" applyFont="1" applyFill="1" applyBorder="1"/>
    <xf numFmtId="0" fontId="7" fillId="4" borderId="11" xfId="0" applyFont="1" applyFill="1" applyBorder="1"/>
    <xf numFmtId="0" fontId="11" fillId="4" borderId="4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8" fillId="4" borderId="6" xfId="0" applyFont="1" applyFill="1" applyBorder="1"/>
    <xf numFmtId="0" fontId="12" fillId="4" borderId="6" xfId="0" applyFont="1" applyFill="1" applyBorder="1" applyAlignment="1">
      <alignment horizontal="center" vertical="center"/>
    </xf>
    <xf numFmtId="0" fontId="14" fillId="4" borderId="6" xfId="0" applyFont="1" applyFill="1" applyBorder="1"/>
    <xf numFmtId="0" fontId="11" fillId="4" borderId="3" xfId="0" applyFont="1" applyFill="1" applyBorder="1" applyAlignment="1">
      <alignment vertical="center"/>
    </xf>
    <xf numFmtId="44" fontId="16" fillId="4" borderId="0" xfId="0" applyNumberFormat="1" applyFont="1" applyFill="1" applyBorder="1" applyAlignment="1">
      <alignment horizontal="center" vertical="center"/>
    </xf>
    <xf numFmtId="44" fontId="16" fillId="4" borderId="7" xfId="0" applyNumberFormat="1" applyFont="1" applyFill="1" applyBorder="1" applyAlignment="1">
      <alignment horizontal="center" vertical="center"/>
    </xf>
    <xf numFmtId="44" fontId="16" fillId="4" borderId="6" xfId="0" applyNumberFormat="1" applyFont="1" applyFill="1" applyBorder="1" applyAlignment="1">
      <alignment horizontal="center" vertical="center"/>
    </xf>
    <xf numFmtId="10" fontId="16" fillId="4" borderId="0" xfId="0" applyNumberFormat="1" applyFont="1" applyFill="1" applyBorder="1" applyAlignment="1">
      <alignment horizontal="center" vertical="center"/>
    </xf>
    <xf numFmtId="10" fontId="12" fillId="4" borderId="0" xfId="0" applyNumberFormat="1" applyFont="1" applyFill="1" applyBorder="1" applyAlignment="1">
      <alignment horizontal="center" vertical="center"/>
    </xf>
    <xf numFmtId="10" fontId="14" fillId="4" borderId="0" xfId="0" applyNumberFormat="1" applyFont="1" applyFill="1" applyBorder="1" applyAlignment="1">
      <alignment horizontal="center" vertical="center"/>
    </xf>
    <xf numFmtId="14" fontId="12" fillId="4" borderId="0" xfId="0" applyNumberFormat="1" applyFont="1" applyFill="1" applyBorder="1" applyAlignment="1">
      <alignment horizontal="center" vertical="center"/>
    </xf>
    <xf numFmtId="10" fontId="16" fillId="4" borderId="4" xfId="0" applyNumberFormat="1" applyFont="1" applyFill="1" applyBorder="1" applyAlignment="1">
      <alignment horizontal="center" vertical="center"/>
    </xf>
    <xf numFmtId="10" fontId="16" fillId="4" borderId="9" xfId="0" applyNumberFormat="1" applyFont="1" applyFill="1" applyBorder="1" applyAlignment="1">
      <alignment horizontal="center" vertical="center"/>
    </xf>
    <xf numFmtId="166" fontId="16" fillId="4" borderId="0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166" fontId="13" fillId="4" borderId="0" xfId="0" applyNumberFormat="1" applyFont="1" applyFill="1" applyBorder="1" applyAlignment="1">
      <alignment horizontal="center" vertical="center"/>
    </xf>
    <xf numFmtId="166" fontId="13" fillId="4" borderId="7" xfId="0" applyNumberFormat="1" applyFont="1" applyFill="1" applyBorder="1" applyAlignment="1">
      <alignment horizontal="center" vertical="center"/>
    </xf>
    <xf numFmtId="166" fontId="13" fillId="4" borderId="6" xfId="0" applyNumberFormat="1" applyFont="1" applyFill="1" applyBorder="1" applyAlignment="1">
      <alignment horizontal="center" vertical="center"/>
    </xf>
    <xf numFmtId="166" fontId="13" fillId="4" borderId="4" xfId="0" applyNumberFormat="1" applyFont="1" applyFill="1" applyBorder="1" applyAlignment="1">
      <alignment horizontal="center" vertical="center"/>
    </xf>
    <xf numFmtId="166" fontId="13" fillId="4" borderId="2" xfId="0" applyNumberFormat="1" applyFont="1" applyFill="1" applyBorder="1" applyAlignment="1">
      <alignment horizontal="center" vertical="center"/>
    </xf>
    <xf numFmtId="166" fontId="13" fillId="4" borderId="3" xfId="0" applyNumberFormat="1" applyFont="1" applyFill="1" applyBorder="1" applyAlignment="1">
      <alignment horizontal="center" vertical="center"/>
    </xf>
    <xf numFmtId="166" fontId="13" fillId="4" borderId="9" xfId="0" applyNumberFormat="1" applyFont="1" applyFill="1" applyBorder="1" applyAlignment="1">
      <alignment horizontal="center" vertical="center"/>
    </xf>
    <xf numFmtId="166" fontId="13" fillId="4" borderId="11" xfId="0" applyNumberFormat="1" applyFont="1" applyFill="1" applyBorder="1" applyAlignment="1">
      <alignment horizontal="center" vertical="center"/>
    </xf>
    <xf numFmtId="166" fontId="13" fillId="4" borderId="8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vertical="center"/>
    </xf>
  </cellXfs>
  <cellStyles count="6">
    <cellStyle name="Moeda" xfId="1" builtinId="4"/>
    <cellStyle name="Normal" xfId="0" builtinId="0"/>
    <cellStyle name="Normal 2" xfId="2" xr:uid="{00000000-0005-0000-0000-000002000000}"/>
    <cellStyle name="Normal 2 2" xfId="3" xr:uid="{00000000-0005-0000-0000-000003000000}"/>
    <cellStyle name="Porcentagem 2" xfId="5" xr:uid="{00000000-0005-0000-0000-000004000000}"/>
    <cellStyle name="Vírgula 2" xfId="4" xr:uid="{00000000-0005-0000-0000-000005000000}"/>
  </cellStyles>
  <dxfs count="9">
    <dxf>
      <numFmt numFmtId="169" formatCode="h&quot;h&quot;"/>
    </dxf>
    <dxf>
      <numFmt numFmtId="169" formatCode="h&quot;h&quot;"/>
    </dxf>
    <dxf>
      <numFmt numFmtId="27" formatCode="dd/mm/yyyy\ hh:mm"/>
    </dxf>
    <dxf>
      <numFmt numFmtId="27" formatCode="dd/mm/yyyy\ hh:mm"/>
    </dxf>
    <dxf>
      <numFmt numFmtId="169" formatCode="h&quot;h&quot;"/>
    </dxf>
    <dxf>
      <numFmt numFmtId="27" formatCode="dd/mm/yyyy\ hh:mm"/>
    </dxf>
    <dxf>
      <numFmt numFmtId="12" formatCode="&quot;R$&quot;\ #,##0.00;[Red]\-&quot;R$&quot;\ #,##0.00"/>
    </dxf>
    <dxf>
      <numFmt numFmtId="27" formatCode="dd/mm/yyyy\ hh:mm"/>
    </dxf>
    <dxf>
      <numFmt numFmtId="27" formatCode="dd/mm/yyyy\ hh:mm"/>
      <protection locked="0" hidden="0"/>
    </dxf>
  </dxfs>
  <tableStyles count="0" defaultTableStyle="TableStyleMedium2" defaultPivotStyle="PivotStyleLight16"/>
  <colors>
    <mruColors>
      <color rgb="FF68FEC5"/>
      <color rgb="FF0CD3E8"/>
      <color rgb="FF000066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85123213764947"/>
          <c:y val="0.1137105503321519"/>
          <c:w val="0.3758973097112861"/>
          <c:h val="0.85394443619075922"/>
        </c:manualLayout>
      </c:layout>
      <c:doughnutChart>
        <c:varyColors val="1"/>
        <c:ser>
          <c:idx val="1"/>
          <c:order val="1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DC-4CD4-A413-58E118AC76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A6-4115-9FC1-7C28DABEE53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A6-4115-9FC1-7C28DABEE53E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DC-4CD4-A413-58E118AC76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BA6-4115-9FC1-7C28DABEE53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BA6-4115-9FC1-7C28DABEE53E}"/>
              </c:ext>
            </c:extLst>
          </c:dPt>
          <c:dPt>
            <c:idx val="6"/>
            <c:bubble3D val="0"/>
            <c:spPr>
              <a:solidFill>
                <a:srgbClr val="0CD3E8"/>
              </a:solidFill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6DC-4CD4-A413-58E118AC76A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BA6-4115-9FC1-7C28DABEE53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BA6-4115-9FC1-7C28DABEE53E}"/>
              </c:ext>
            </c:extLst>
          </c:dPt>
          <c:dPt>
            <c:idx val="9"/>
            <c:bubble3D val="0"/>
            <c:spPr>
              <a:solidFill>
                <a:srgbClr val="68FE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6DC-4CD4-A413-58E118AC76A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BA6-4115-9FC1-7C28DABEE53E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BA6-4115-9FC1-7C28DABEE53E}"/>
              </c:ext>
            </c:extLst>
          </c:dPt>
          <c:dPt>
            <c:idx val="1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DC-4CD4-A413-58E118AC76A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BA6-4115-9FC1-7C28DABEE53E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BA6-4115-9FC1-7C28DABEE53E}"/>
              </c:ext>
            </c:extLst>
          </c:dPt>
          <c:dLbls>
            <c:dLbl>
              <c:idx val="0"/>
              <c:layout>
                <c:manualLayout>
                  <c:x val="5.5555555555555552E-2"/>
                  <c:y val="-0.1527777777777777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DC-4CD4-A413-58E118AC76AB}"/>
                </c:ext>
              </c:extLst>
            </c:dLbl>
            <c:dLbl>
              <c:idx val="3"/>
              <c:layout>
                <c:manualLayout>
                  <c:x val="9.166666666666666E-2"/>
                  <c:y val="0.1018518518518516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DC-4CD4-A413-58E118AC76AB}"/>
                </c:ext>
              </c:extLst>
            </c:dLbl>
            <c:dLbl>
              <c:idx val="6"/>
              <c:layout>
                <c:manualLayout>
                  <c:x val="-8.3333333333333329E-2"/>
                  <c:y val="-0.1296296296296296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DC-4CD4-A413-58E118AC76AB}"/>
                </c:ext>
              </c:extLst>
            </c:dLbl>
            <c:dLbl>
              <c:idx val="9"/>
              <c:layout>
                <c:manualLayout>
                  <c:x val="-4.1666666666666768E-2"/>
                  <c:y val="-0.1481481481481481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DC-4CD4-A413-58E118AC76AB}"/>
                </c:ext>
              </c:extLst>
            </c:dLbl>
            <c:dLbl>
              <c:idx val="12"/>
              <c:layout>
                <c:manualLayout>
                  <c:x val="0"/>
                  <c:y val="-0.1759259259259259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DC-4CD4-A413-58E118AC76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Dashboard!$B$13:$B$27</c:f>
              <c:strCache>
                <c:ptCount val="13"/>
                <c:pt idx="0">
                  <c:v>Pix</c:v>
                </c:pt>
                <c:pt idx="3">
                  <c:v>Crédito</c:v>
                </c:pt>
                <c:pt idx="6">
                  <c:v>Débito</c:v>
                </c:pt>
                <c:pt idx="9">
                  <c:v>Dinheiro</c:v>
                </c:pt>
                <c:pt idx="12">
                  <c:v>Pg Online</c:v>
                </c:pt>
              </c:strCache>
            </c:strRef>
          </c:cat>
          <c:val>
            <c:numRef>
              <c:f>Dashboard!$F$13:$F$27</c:f>
              <c:numCache>
                <c:formatCode>"R$"\ #,##0.00</c:formatCode>
                <c:ptCount val="15"/>
                <c:pt idx="0">
                  <c:v>3756.0999999999995</c:v>
                </c:pt>
                <c:pt idx="3">
                  <c:v>13438.89</c:v>
                </c:pt>
                <c:pt idx="6">
                  <c:v>7334.0800000000017</c:v>
                </c:pt>
                <c:pt idx="9">
                  <c:v>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C-4CD4-A413-58E118AC76A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CBA6-4115-9FC1-7C28DABEE53E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CBA6-4115-9FC1-7C28DABEE53E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CBA6-4115-9FC1-7C28DABEE53E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CBA6-4115-9FC1-7C28DABEE53E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CBA6-4115-9FC1-7C28DABEE53E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9-CBA6-4115-9FC1-7C28DABEE53E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B-CBA6-4115-9FC1-7C28DABEE53E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D-CBA6-4115-9FC1-7C28DABEE53E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CBA6-4115-9FC1-7C28DABEE53E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CBA6-4115-9FC1-7C28DABEE53E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CBA6-4115-9FC1-7C28DABEE53E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CBA6-4115-9FC1-7C28DABEE53E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7-CBA6-4115-9FC1-7C28DABEE53E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9-CBA6-4115-9FC1-7C28DABEE53E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CBA6-4115-9FC1-7C28DABEE53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2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Dashboard!$B$13:$B$27</c15:sqref>
                        </c15:formulaRef>
                      </c:ext>
                    </c:extLst>
                    <c:strCache>
                      <c:ptCount val="13"/>
                      <c:pt idx="0">
                        <c:v>Pix</c:v>
                      </c:pt>
                      <c:pt idx="3">
                        <c:v>Crédito</c:v>
                      </c:pt>
                      <c:pt idx="6">
                        <c:v>Débito</c:v>
                      </c:pt>
                      <c:pt idx="9">
                        <c:v>Dinheiro</c:v>
                      </c:pt>
                      <c:pt idx="12">
                        <c:v>Pg Online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Dashboard!$C$13:$C$27</c15:sqref>
                        </c15:formulaRef>
                      </c:ext>
                    </c:extLst>
                    <c:numCache>
                      <c:formatCode>General</c:formatCode>
                      <c:ptCount val="1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6DC-4CD4-A413-58E118AC76AB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CBA6-4115-9FC1-7C28DABEE53E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CBA6-4115-9FC1-7C28DABEE53E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CBA6-4115-9FC1-7C28DABEE53E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CBA6-4115-9FC1-7C28DABEE53E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CBA6-4115-9FC1-7C28DABEE53E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CBA6-4115-9FC1-7C28DABEE53E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CBA6-4115-9FC1-7C28DABEE53E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CBA6-4115-9FC1-7C28DABEE53E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CBA6-4115-9FC1-7C28DABEE53E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CBA6-4115-9FC1-7C28DABEE53E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CBA6-4115-9FC1-7C28DABEE53E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CBA6-4115-9FC1-7C28DABEE53E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CBA6-4115-9FC1-7C28DABEE53E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CBA6-4115-9FC1-7C28DABEE53E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CBA6-4115-9FC1-7C28DABEE53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2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Dashboard!$B$13:$B$27</c15:sqref>
                        </c15:formulaRef>
                      </c:ext>
                    </c:extLst>
                    <c:strCache>
                      <c:ptCount val="13"/>
                      <c:pt idx="0">
                        <c:v>Pix</c:v>
                      </c:pt>
                      <c:pt idx="3">
                        <c:v>Crédito</c:v>
                      </c:pt>
                      <c:pt idx="6">
                        <c:v>Débito</c:v>
                      </c:pt>
                      <c:pt idx="9">
                        <c:v>Dinheiro</c:v>
                      </c:pt>
                      <c:pt idx="12">
                        <c:v>Pg Online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Dashboard!$G$13:$G$27</c15:sqref>
                        </c15:formulaRef>
                      </c:ext>
                    </c:extLst>
                    <c:numCache>
                      <c:formatCode>"R$"\ #,##0.00</c:formatCode>
                      <c:ptCount val="1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6DC-4CD4-A413-58E118AC76AB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egendEntry>
        <c:idx val="14"/>
        <c:delete val="1"/>
      </c:legendEntry>
      <c:layout>
        <c:manualLayout>
          <c:xMode val="edge"/>
          <c:yMode val="edge"/>
          <c:x val="0.71970758252575717"/>
          <c:y val="9.1221649844991953E-2"/>
          <c:w val="0.22934033519051805"/>
          <c:h val="0.82240804805059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[Planilha_de_automacao_de_fechamento.xlsb.xlsx]Configuração!Tabela dinâmica5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416571844704381E-2"/>
          <c:y val="7.0758432973656069E-2"/>
          <c:w val="0.73703301786299102"/>
          <c:h val="0.75581478601494856"/>
        </c:manualLayout>
      </c:layout>
      <c:lineChart>
        <c:grouping val="standard"/>
        <c:varyColors val="0"/>
        <c:ser>
          <c:idx val="0"/>
          <c:order val="0"/>
          <c:tx>
            <c:strRef>
              <c:f>Configuração!$B$6</c:f>
              <c:strCache>
                <c:ptCount val="1"/>
                <c:pt idx="0">
                  <c:v>Vendas Sipag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Configuração!$A$7:$A$18</c:f>
              <c:strCache>
                <c:ptCount val="11"/>
                <c:pt idx="0">
                  <c:v>18:00</c:v>
                </c:pt>
                <c:pt idx="1">
                  <c:v>19:00</c:v>
                </c:pt>
                <c:pt idx="2">
                  <c:v>20:00</c:v>
                </c:pt>
                <c:pt idx="3">
                  <c:v>21:00</c:v>
                </c:pt>
                <c:pt idx="4">
                  <c:v>22:00</c:v>
                </c:pt>
                <c:pt idx="5">
                  <c:v>23:00</c:v>
                </c:pt>
                <c:pt idx="6">
                  <c:v>0:00</c:v>
                </c:pt>
                <c:pt idx="7">
                  <c:v>1:00</c:v>
                </c:pt>
                <c:pt idx="8">
                  <c:v>2:00</c:v>
                </c:pt>
                <c:pt idx="9">
                  <c:v>3:00</c:v>
                </c:pt>
                <c:pt idx="10">
                  <c:v>4:00</c:v>
                </c:pt>
              </c:strCache>
            </c:strRef>
          </c:cat>
          <c:val>
            <c:numRef>
              <c:f>Configuração!$B$7:$B$18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7</c:v>
                </c:pt>
                <c:pt idx="6">
                  <c:v>14</c:v>
                </c:pt>
                <c:pt idx="7">
                  <c:v>26</c:v>
                </c:pt>
                <c:pt idx="8">
                  <c:v>51</c:v>
                </c:pt>
                <c:pt idx="9">
                  <c:v>12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D-43F7-AFC6-CC0237EB2CFD}"/>
            </c:ext>
          </c:extLst>
        </c:ser>
        <c:ser>
          <c:idx val="1"/>
          <c:order val="1"/>
          <c:tx>
            <c:strRef>
              <c:f>Configuração!$C$6</c:f>
              <c:strCache>
                <c:ptCount val="1"/>
                <c:pt idx="0">
                  <c:v>Vendas 7Pay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Configuração!$A$7:$A$18</c:f>
              <c:strCache>
                <c:ptCount val="11"/>
                <c:pt idx="0">
                  <c:v>18:00</c:v>
                </c:pt>
                <c:pt idx="1">
                  <c:v>19:00</c:v>
                </c:pt>
                <c:pt idx="2">
                  <c:v>20:00</c:v>
                </c:pt>
                <c:pt idx="3">
                  <c:v>21:00</c:v>
                </c:pt>
                <c:pt idx="4">
                  <c:v>22:00</c:v>
                </c:pt>
                <c:pt idx="5">
                  <c:v>23:00</c:v>
                </c:pt>
                <c:pt idx="6">
                  <c:v>0:00</c:v>
                </c:pt>
                <c:pt idx="7">
                  <c:v>1:00</c:v>
                </c:pt>
                <c:pt idx="8">
                  <c:v>2:00</c:v>
                </c:pt>
                <c:pt idx="9">
                  <c:v>3:00</c:v>
                </c:pt>
                <c:pt idx="10">
                  <c:v>4:00</c:v>
                </c:pt>
              </c:strCache>
            </c:strRef>
          </c:cat>
          <c:val>
            <c:numRef>
              <c:f>Configuração!$C$7:$C$18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10</c:v>
                </c:pt>
                <c:pt idx="5">
                  <c:v>31</c:v>
                </c:pt>
                <c:pt idx="6">
                  <c:v>20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9D-43F7-AFC6-CC0237EB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6424"/>
        <c:axId val="223281720"/>
      </c:lineChart>
      <c:catAx>
        <c:axId val="655016424"/>
        <c:scaling>
          <c:orientation val="minMax"/>
        </c:scaling>
        <c:delete val="0"/>
        <c:axPos val="b"/>
        <c:numFmt formatCode="[$-409]h:mm\ AM/P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pt-BR"/>
          </a:p>
        </c:txPr>
        <c:crossAx val="223281720"/>
        <c:crosses val="autoZero"/>
        <c:auto val="1"/>
        <c:lblAlgn val="ctr"/>
        <c:lblOffset val="100"/>
        <c:noMultiLvlLbl val="0"/>
      </c:catAx>
      <c:valAx>
        <c:axId val="2232817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pt-BR"/>
          </a:p>
        </c:txPr>
        <c:crossAx val="65501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58588904293371"/>
          <c:y val="0.22767621625341194"/>
          <c:w val="0.19310248507694977"/>
          <c:h val="0.407342487963878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 i="0" baseline="0">
          <a:solidFill>
            <a:schemeClr val="bg1"/>
          </a:solidFill>
          <a:latin typeface="Cambria" panose="020405030504060302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97-4DBB-A55E-2209F0BB0A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97-4DBB-A55E-2209F0BB0A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97-4DBB-A55E-2209F0BB0AA3}"/>
              </c:ext>
            </c:extLst>
          </c:dPt>
          <c:cat>
            <c:strRef>
              <c:f>'Fechamento Sipag'!$A$2:$A$4</c:f>
              <c:strCache>
                <c:ptCount val="3"/>
                <c:pt idx="0">
                  <c:v>CRÉDITO:</c:v>
                </c:pt>
                <c:pt idx="1">
                  <c:v>DÉBITO:</c:v>
                </c:pt>
                <c:pt idx="2">
                  <c:v>PIX:</c:v>
                </c:pt>
              </c:strCache>
            </c:strRef>
          </c:cat>
          <c:val>
            <c:numRef>
              <c:f>'Fechamento Sipag'!$C$2:$C$4</c:f>
              <c:numCache>
                <c:formatCode>_("R$"* #,##0.00_);_("R$"* \(#,##0.00\);_("R$"* "-"??_);_(@_)</c:formatCode>
                <c:ptCount val="3"/>
                <c:pt idx="0">
                  <c:v>8472.7199999999975</c:v>
                </c:pt>
                <c:pt idx="1">
                  <c:v>4178.630000000001</c:v>
                </c:pt>
                <c:pt idx="2">
                  <c:v>2543.1099999999997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97-4DBB-A55E-2209F0BB0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2574448"/>
        <c:axId val="19725725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4F97-4DBB-A55E-2209F0BB0AA3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4F97-4DBB-A55E-2209F0BB0AA3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4F97-4DBB-A55E-2209F0BB0AA3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'Fechamento Sipag'!$A$2:$A$4</c15:sqref>
                        </c15:formulaRef>
                      </c:ext>
                    </c:extLst>
                    <c:strCache>
                      <c:ptCount val="3"/>
                      <c:pt idx="0">
                        <c:v>CRÉDITO:</c:v>
                      </c:pt>
                      <c:pt idx="1">
                        <c:v>DÉBITO:</c:v>
                      </c:pt>
                      <c:pt idx="2">
                        <c:v>PIX: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'Fechamento Sipag'!$B$2:$B$4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4F97-4DBB-A55E-2209F0BB0AA3}"/>
                  </c:ext>
                </c:extLst>
              </c15:ser>
            </c15:filteredBarSeries>
          </c:ext>
        </c:extLst>
      </c:barChart>
      <c:valAx>
        <c:axId val="19725725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972574448"/>
        <c:crossBetween val="between"/>
      </c:valAx>
      <c:catAx>
        <c:axId val="1972574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25725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shade val="1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89-482A-95B9-F8924FBA60F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89-482A-95B9-F8924FBA60F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89-482A-95B9-F8924FBA60F2}"/>
              </c:ext>
            </c:extLst>
          </c:dPt>
          <c:cat>
            <c:strRef>
              <c:f>'Fechamento 7Pay'!$A$2:$A$4</c:f>
              <c:strCache>
                <c:ptCount val="3"/>
                <c:pt idx="0">
                  <c:v>CRÉDITO:</c:v>
                </c:pt>
                <c:pt idx="1">
                  <c:v>DÉBITO:</c:v>
                </c:pt>
                <c:pt idx="2">
                  <c:v>PIX:</c:v>
                </c:pt>
              </c:strCache>
            </c:strRef>
          </c:cat>
          <c:val>
            <c:numRef>
              <c:f>'Fechamento 7Pay'!$C$2:$C$4</c:f>
              <c:numCache>
                <c:formatCode>_("R$"* #,##0.00_);_("R$"* \(#,##0.00\);_("R$"* "-"??_);_(@_)</c:formatCode>
                <c:ptCount val="3"/>
                <c:pt idx="0">
                  <c:v>4966.170000000001</c:v>
                </c:pt>
                <c:pt idx="1">
                  <c:v>3155.4500000000003</c:v>
                </c:pt>
                <c:pt idx="2">
                  <c:v>1212.99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89-482A-95B9-F8924FBA6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36069168"/>
        <c:axId val="20360706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'Fechamento 7Pay'!$A$2:$A$4</c15:sqref>
                        </c15:formulaRef>
                      </c:ext>
                    </c:extLst>
                    <c:strCache>
                      <c:ptCount val="3"/>
                      <c:pt idx="0">
                        <c:v>CRÉDITO:</c:v>
                      </c:pt>
                      <c:pt idx="1">
                        <c:v>DÉBITO:</c:v>
                      </c:pt>
                      <c:pt idx="2">
                        <c:v>PIX: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'Fechamento 7Pay'!$D$2:$D$4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089-482A-95B9-F8924FBA60F2}"/>
                  </c:ext>
                </c:extLst>
              </c15:ser>
            </c15:filteredBarSeries>
          </c:ext>
        </c:extLst>
      </c:barChart>
      <c:valAx>
        <c:axId val="20360706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036069168"/>
        <c:crosses val="autoZero"/>
        <c:crossBetween val="between"/>
      </c:valAx>
      <c:catAx>
        <c:axId val="2036069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6070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shade val="1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26738</xdr:colOff>
      <xdr:row>8</xdr:row>
      <xdr:rowOff>162213</xdr:rowOff>
    </xdr:from>
    <xdr:to>
      <xdr:col>16</xdr:col>
      <xdr:colOff>1437410</xdr:colOff>
      <xdr:row>22</xdr:row>
      <xdr:rowOff>69273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183646</xdr:colOff>
      <xdr:row>23</xdr:row>
      <xdr:rowOff>34637</xdr:rowOff>
    </xdr:from>
    <xdr:to>
      <xdr:col>16</xdr:col>
      <xdr:colOff>1575956</xdr:colOff>
      <xdr:row>40</xdr:row>
      <xdr:rowOff>69273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306737</xdr:colOff>
      <xdr:row>11</xdr:row>
      <xdr:rowOff>181429</xdr:rowOff>
    </xdr:from>
    <xdr:to>
      <xdr:col>35</xdr:col>
      <xdr:colOff>116973</xdr:colOff>
      <xdr:row>24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65473E-A071-4E27-BE42-8F4B42A32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322167</xdr:colOff>
      <xdr:row>27</xdr:row>
      <xdr:rowOff>182095</xdr:rowOff>
    </xdr:from>
    <xdr:to>
      <xdr:col>35</xdr:col>
      <xdr:colOff>100263</xdr:colOff>
      <xdr:row>39</xdr:row>
      <xdr:rowOff>182095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781686-D14F-43F2-AE0C-6DDAD8CB6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1.803428356485" backgroundQuery="1" missingItemsLimit="0" createdVersion="6" refreshedVersion="8" minRefreshableVersion="3" recordCount="199" xr:uid="{00000000-000A-0000-FFFF-FFFF07000000}">
  <cacheSource type="external" connectionId="1"/>
  <cacheFields count="3">
    <cacheField name="DATA DA VENDA" numFmtId="0">
      <sharedItems containsSemiMixedTypes="0" containsNonDate="0" containsDate="1" containsString="0" minDate="2026-05-28T18:00:00" maxDate="2026-05-30T00:00:00" count="11">
        <d v="2026-05-28T18:00:00"/>
        <d v="2026-05-28T19:00:00"/>
        <d v="2026-05-28T20:00:00"/>
        <d v="2026-05-28T21:00:00"/>
        <d v="2026-05-28T22:00:00"/>
        <d v="2026-05-28T23:00:00"/>
        <d v="2026-05-29T00:00:00"/>
        <d v="2026-05-29T01:00:00"/>
        <d v="2026-05-29T02:00:00"/>
        <d v="2026-05-29T03:00:00"/>
        <d v="2026-05-29T04:00:00"/>
      </sharedItems>
    </cacheField>
    <cacheField name="Sipag" numFmtId="0">
      <sharedItems containsBlank="1" count="4">
        <m/>
        <s v="Pix"/>
        <s v="Crédito"/>
        <s v="Débito"/>
      </sharedItems>
    </cacheField>
    <cacheField name="7Pay" numFmtId="0">
      <sharedItems containsBlank="1" count="4">
        <m/>
        <s v="Crédito"/>
        <s v="Débito"/>
        <s v="Pi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x v="0"/>
  </r>
  <r>
    <x v="1"/>
    <x v="0"/>
    <x v="0"/>
  </r>
  <r>
    <x v="2"/>
    <x v="0"/>
    <x v="0"/>
  </r>
  <r>
    <x v="3"/>
    <x v="1"/>
    <x v="0"/>
  </r>
  <r>
    <x v="3"/>
    <x v="0"/>
    <x v="1"/>
  </r>
  <r>
    <x v="3"/>
    <x v="0"/>
    <x v="2"/>
  </r>
  <r>
    <x v="4"/>
    <x v="0"/>
    <x v="2"/>
  </r>
  <r>
    <x v="4"/>
    <x v="0"/>
    <x v="1"/>
  </r>
  <r>
    <x v="4"/>
    <x v="0"/>
    <x v="1"/>
  </r>
  <r>
    <x v="4"/>
    <x v="0"/>
    <x v="2"/>
  </r>
  <r>
    <x v="4"/>
    <x v="0"/>
    <x v="2"/>
  </r>
  <r>
    <x v="4"/>
    <x v="0"/>
    <x v="1"/>
  </r>
  <r>
    <x v="4"/>
    <x v="0"/>
    <x v="2"/>
  </r>
  <r>
    <x v="4"/>
    <x v="0"/>
    <x v="2"/>
  </r>
  <r>
    <x v="4"/>
    <x v="0"/>
    <x v="3"/>
  </r>
  <r>
    <x v="4"/>
    <x v="2"/>
    <x v="0"/>
  </r>
  <r>
    <x v="4"/>
    <x v="3"/>
    <x v="0"/>
  </r>
  <r>
    <x v="4"/>
    <x v="0"/>
    <x v="3"/>
  </r>
  <r>
    <x v="4"/>
    <x v="1"/>
    <x v="0"/>
  </r>
  <r>
    <x v="5"/>
    <x v="0"/>
    <x v="1"/>
  </r>
  <r>
    <x v="5"/>
    <x v="0"/>
    <x v="1"/>
  </r>
  <r>
    <x v="5"/>
    <x v="0"/>
    <x v="2"/>
  </r>
  <r>
    <x v="5"/>
    <x v="0"/>
    <x v="1"/>
  </r>
  <r>
    <x v="5"/>
    <x v="0"/>
    <x v="1"/>
  </r>
  <r>
    <x v="5"/>
    <x v="0"/>
    <x v="2"/>
  </r>
  <r>
    <x v="5"/>
    <x v="0"/>
    <x v="2"/>
  </r>
  <r>
    <x v="5"/>
    <x v="0"/>
    <x v="1"/>
  </r>
  <r>
    <x v="5"/>
    <x v="0"/>
    <x v="1"/>
  </r>
  <r>
    <x v="5"/>
    <x v="0"/>
    <x v="2"/>
  </r>
  <r>
    <x v="5"/>
    <x v="0"/>
    <x v="2"/>
  </r>
  <r>
    <x v="5"/>
    <x v="0"/>
    <x v="2"/>
  </r>
  <r>
    <x v="5"/>
    <x v="0"/>
    <x v="1"/>
  </r>
  <r>
    <x v="5"/>
    <x v="0"/>
    <x v="1"/>
  </r>
  <r>
    <x v="5"/>
    <x v="0"/>
    <x v="2"/>
  </r>
  <r>
    <x v="5"/>
    <x v="0"/>
    <x v="2"/>
  </r>
  <r>
    <x v="5"/>
    <x v="0"/>
    <x v="1"/>
  </r>
  <r>
    <x v="5"/>
    <x v="0"/>
    <x v="2"/>
  </r>
  <r>
    <x v="5"/>
    <x v="0"/>
    <x v="3"/>
  </r>
  <r>
    <x v="5"/>
    <x v="0"/>
    <x v="1"/>
  </r>
  <r>
    <x v="5"/>
    <x v="0"/>
    <x v="2"/>
  </r>
  <r>
    <x v="5"/>
    <x v="0"/>
    <x v="2"/>
  </r>
  <r>
    <x v="5"/>
    <x v="0"/>
    <x v="3"/>
  </r>
  <r>
    <x v="5"/>
    <x v="0"/>
    <x v="1"/>
  </r>
  <r>
    <x v="5"/>
    <x v="0"/>
    <x v="2"/>
  </r>
  <r>
    <x v="5"/>
    <x v="0"/>
    <x v="3"/>
  </r>
  <r>
    <x v="5"/>
    <x v="0"/>
    <x v="2"/>
  </r>
  <r>
    <x v="5"/>
    <x v="0"/>
    <x v="1"/>
  </r>
  <r>
    <x v="5"/>
    <x v="0"/>
    <x v="1"/>
  </r>
  <r>
    <x v="5"/>
    <x v="0"/>
    <x v="2"/>
  </r>
  <r>
    <x v="5"/>
    <x v="0"/>
    <x v="2"/>
  </r>
  <r>
    <x v="5"/>
    <x v="2"/>
    <x v="0"/>
  </r>
  <r>
    <x v="5"/>
    <x v="1"/>
    <x v="0"/>
  </r>
  <r>
    <x v="5"/>
    <x v="2"/>
    <x v="0"/>
  </r>
  <r>
    <x v="5"/>
    <x v="2"/>
    <x v="0"/>
  </r>
  <r>
    <x v="5"/>
    <x v="2"/>
    <x v="0"/>
  </r>
  <r>
    <x v="5"/>
    <x v="2"/>
    <x v="0"/>
  </r>
  <r>
    <x v="5"/>
    <x v="3"/>
    <x v="0"/>
  </r>
  <r>
    <x v="6"/>
    <x v="2"/>
    <x v="0"/>
  </r>
  <r>
    <x v="6"/>
    <x v="2"/>
    <x v="0"/>
  </r>
  <r>
    <x v="6"/>
    <x v="2"/>
    <x v="0"/>
  </r>
  <r>
    <x v="6"/>
    <x v="1"/>
    <x v="0"/>
  </r>
  <r>
    <x v="6"/>
    <x v="3"/>
    <x v="0"/>
  </r>
  <r>
    <x v="6"/>
    <x v="2"/>
    <x v="0"/>
  </r>
  <r>
    <x v="6"/>
    <x v="0"/>
    <x v="2"/>
  </r>
  <r>
    <x v="6"/>
    <x v="0"/>
    <x v="2"/>
  </r>
  <r>
    <x v="6"/>
    <x v="0"/>
    <x v="1"/>
  </r>
  <r>
    <x v="6"/>
    <x v="0"/>
    <x v="2"/>
  </r>
  <r>
    <x v="6"/>
    <x v="0"/>
    <x v="1"/>
  </r>
  <r>
    <x v="6"/>
    <x v="0"/>
    <x v="2"/>
  </r>
  <r>
    <x v="6"/>
    <x v="0"/>
    <x v="1"/>
  </r>
  <r>
    <x v="6"/>
    <x v="0"/>
    <x v="1"/>
  </r>
  <r>
    <x v="6"/>
    <x v="0"/>
    <x v="1"/>
  </r>
  <r>
    <x v="6"/>
    <x v="0"/>
    <x v="1"/>
  </r>
  <r>
    <x v="6"/>
    <x v="0"/>
    <x v="3"/>
  </r>
  <r>
    <x v="6"/>
    <x v="2"/>
    <x v="0"/>
  </r>
  <r>
    <x v="6"/>
    <x v="1"/>
    <x v="0"/>
  </r>
  <r>
    <x v="6"/>
    <x v="0"/>
    <x v="2"/>
  </r>
  <r>
    <x v="6"/>
    <x v="0"/>
    <x v="1"/>
  </r>
  <r>
    <x v="6"/>
    <x v="3"/>
    <x v="0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1"/>
  </r>
  <r>
    <x v="6"/>
    <x v="2"/>
    <x v="0"/>
  </r>
  <r>
    <x v="6"/>
    <x v="2"/>
    <x v="0"/>
  </r>
  <r>
    <x v="6"/>
    <x v="3"/>
    <x v="0"/>
  </r>
  <r>
    <x v="6"/>
    <x v="2"/>
    <x v="0"/>
  </r>
  <r>
    <x v="6"/>
    <x v="1"/>
    <x v="0"/>
  </r>
  <r>
    <x v="6"/>
    <x v="0"/>
    <x v="3"/>
  </r>
  <r>
    <x v="7"/>
    <x v="0"/>
    <x v="3"/>
  </r>
  <r>
    <x v="7"/>
    <x v="1"/>
    <x v="0"/>
  </r>
  <r>
    <x v="7"/>
    <x v="1"/>
    <x v="0"/>
  </r>
  <r>
    <x v="7"/>
    <x v="2"/>
    <x v="0"/>
  </r>
  <r>
    <x v="7"/>
    <x v="3"/>
    <x v="0"/>
  </r>
  <r>
    <x v="7"/>
    <x v="2"/>
    <x v="0"/>
  </r>
  <r>
    <x v="7"/>
    <x v="1"/>
    <x v="0"/>
  </r>
  <r>
    <x v="7"/>
    <x v="1"/>
    <x v="0"/>
  </r>
  <r>
    <x v="7"/>
    <x v="2"/>
    <x v="0"/>
  </r>
  <r>
    <x v="7"/>
    <x v="2"/>
    <x v="0"/>
  </r>
  <r>
    <x v="7"/>
    <x v="0"/>
    <x v="1"/>
  </r>
  <r>
    <x v="7"/>
    <x v="2"/>
    <x v="0"/>
  </r>
  <r>
    <x v="7"/>
    <x v="2"/>
    <x v="0"/>
  </r>
  <r>
    <x v="7"/>
    <x v="0"/>
    <x v="2"/>
  </r>
  <r>
    <x v="7"/>
    <x v="0"/>
    <x v="1"/>
  </r>
  <r>
    <x v="7"/>
    <x v="0"/>
    <x v="2"/>
  </r>
  <r>
    <x v="7"/>
    <x v="0"/>
    <x v="2"/>
  </r>
  <r>
    <x v="7"/>
    <x v="2"/>
    <x v="0"/>
  </r>
  <r>
    <x v="7"/>
    <x v="3"/>
    <x v="0"/>
  </r>
  <r>
    <x v="7"/>
    <x v="2"/>
    <x v="0"/>
  </r>
  <r>
    <x v="7"/>
    <x v="2"/>
    <x v="0"/>
  </r>
  <r>
    <x v="7"/>
    <x v="2"/>
    <x v="0"/>
  </r>
  <r>
    <x v="7"/>
    <x v="2"/>
    <x v="0"/>
  </r>
  <r>
    <x v="7"/>
    <x v="3"/>
    <x v="0"/>
  </r>
  <r>
    <x v="7"/>
    <x v="2"/>
    <x v="0"/>
  </r>
  <r>
    <x v="7"/>
    <x v="2"/>
    <x v="0"/>
  </r>
  <r>
    <x v="7"/>
    <x v="1"/>
    <x v="0"/>
  </r>
  <r>
    <x v="7"/>
    <x v="1"/>
    <x v="0"/>
  </r>
  <r>
    <x v="7"/>
    <x v="0"/>
    <x v="1"/>
  </r>
  <r>
    <x v="7"/>
    <x v="1"/>
    <x v="0"/>
  </r>
  <r>
    <x v="7"/>
    <x v="3"/>
    <x v="0"/>
  </r>
  <r>
    <x v="7"/>
    <x v="0"/>
    <x v="1"/>
  </r>
  <r>
    <x v="7"/>
    <x v="0"/>
    <x v="1"/>
  </r>
  <r>
    <x v="7"/>
    <x v="0"/>
    <x v="2"/>
  </r>
  <r>
    <x v="7"/>
    <x v="0"/>
    <x v="1"/>
  </r>
  <r>
    <x v="7"/>
    <x v="0"/>
    <x v="2"/>
  </r>
  <r>
    <x v="7"/>
    <x v="0"/>
    <x v="1"/>
  </r>
  <r>
    <x v="7"/>
    <x v="0"/>
    <x v="1"/>
  </r>
  <r>
    <x v="7"/>
    <x v="0"/>
    <x v="3"/>
  </r>
  <r>
    <x v="7"/>
    <x v="0"/>
    <x v="1"/>
  </r>
  <r>
    <x v="7"/>
    <x v="0"/>
    <x v="1"/>
  </r>
  <r>
    <x v="7"/>
    <x v="0"/>
    <x v="2"/>
  </r>
  <r>
    <x v="7"/>
    <x v="2"/>
    <x v="0"/>
  </r>
  <r>
    <x v="7"/>
    <x v="1"/>
    <x v="0"/>
  </r>
  <r>
    <x v="8"/>
    <x v="3"/>
    <x v="0"/>
  </r>
  <r>
    <x v="8"/>
    <x v="2"/>
    <x v="0"/>
  </r>
  <r>
    <x v="8"/>
    <x v="2"/>
    <x v="0"/>
  </r>
  <r>
    <x v="8"/>
    <x v="2"/>
    <x v="0"/>
  </r>
  <r>
    <x v="8"/>
    <x v="2"/>
    <x v="0"/>
  </r>
  <r>
    <x v="8"/>
    <x v="3"/>
    <x v="0"/>
  </r>
  <r>
    <x v="8"/>
    <x v="3"/>
    <x v="0"/>
  </r>
  <r>
    <x v="8"/>
    <x v="2"/>
    <x v="0"/>
  </r>
  <r>
    <x v="8"/>
    <x v="1"/>
    <x v="0"/>
  </r>
  <r>
    <x v="8"/>
    <x v="3"/>
    <x v="0"/>
  </r>
  <r>
    <x v="8"/>
    <x v="1"/>
    <x v="0"/>
  </r>
  <r>
    <x v="8"/>
    <x v="1"/>
    <x v="0"/>
  </r>
  <r>
    <x v="8"/>
    <x v="2"/>
    <x v="0"/>
  </r>
  <r>
    <x v="8"/>
    <x v="3"/>
    <x v="0"/>
  </r>
  <r>
    <x v="8"/>
    <x v="2"/>
    <x v="0"/>
  </r>
  <r>
    <x v="8"/>
    <x v="2"/>
    <x v="0"/>
  </r>
  <r>
    <x v="8"/>
    <x v="2"/>
    <x v="0"/>
  </r>
  <r>
    <x v="8"/>
    <x v="2"/>
    <x v="0"/>
  </r>
  <r>
    <x v="8"/>
    <x v="3"/>
    <x v="0"/>
  </r>
  <r>
    <x v="8"/>
    <x v="2"/>
    <x v="0"/>
  </r>
  <r>
    <x v="8"/>
    <x v="3"/>
    <x v="0"/>
  </r>
  <r>
    <x v="8"/>
    <x v="3"/>
    <x v="0"/>
  </r>
  <r>
    <x v="8"/>
    <x v="3"/>
    <x v="0"/>
  </r>
  <r>
    <x v="8"/>
    <x v="3"/>
    <x v="0"/>
  </r>
  <r>
    <x v="8"/>
    <x v="2"/>
    <x v="0"/>
  </r>
  <r>
    <x v="8"/>
    <x v="2"/>
    <x v="0"/>
  </r>
  <r>
    <x v="8"/>
    <x v="2"/>
    <x v="0"/>
  </r>
  <r>
    <x v="8"/>
    <x v="2"/>
    <x v="0"/>
  </r>
  <r>
    <x v="8"/>
    <x v="2"/>
    <x v="0"/>
  </r>
  <r>
    <x v="8"/>
    <x v="1"/>
    <x v="0"/>
  </r>
  <r>
    <x v="8"/>
    <x v="1"/>
    <x v="0"/>
  </r>
  <r>
    <x v="8"/>
    <x v="2"/>
    <x v="0"/>
  </r>
  <r>
    <x v="8"/>
    <x v="2"/>
    <x v="0"/>
  </r>
  <r>
    <x v="8"/>
    <x v="3"/>
    <x v="0"/>
  </r>
  <r>
    <x v="8"/>
    <x v="3"/>
    <x v="0"/>
  </r>
  <r>
    <x v="8"/>
    <x v="3"/>
    <x v="0"/>
  </r>
  <r>
    <x v="8"/>
    <x v="3"/>
    <x v="0"/>
  </r>
  <r>
    <x v="8"/>
    <x v="3"/>
    <x v="0"/>
  </r>
  <r>
    <x v="8"/>
    <x v="2"/>
    <x v="0"/>
  </r>
  <r>
    <x v="8"/>
    <x v="3"/>
    <x v="0"/>
  </r>
  <r>
    <x v="8"/>
    <x v="2"/>
    <x v="0"/>
  </r>
  <r>
    <x v="8"/>
    <x v="2"/>
    <x v="0"/>
  </r>
  <r>
    <x v="8"/>
    <x v="2"/>
    <x v="0"/>
  </r>
  <r>
    <x v="8"/>
    <x v="3"/>
    <x v="0"/>
  </r>
  <r>
    <x v="8"/>
    <x v="1"/>
    <x v="0"/>
  </r>
  <r>
    <x v="8"/>
    <x v="2"/>
    <x v="0"/>
  </r>
  <r>
    <x v="8"/>
    <x v="2"/>
    <x v="0"/>
  </r>
  <r>
    <x v="8"/>
    <x v="2"/>
    <x v="0"/>
  </r>
  <r>
    <x v="8"/>
    <x v="2"/>
    <x v="0"/>
  </r>
  <r>
    <x v="8"/>
    <x v="1"/>
    <x v="0"/>
  </r>
  <r>
    <x v="8"/>
    <x v="3"/>
    <x v="0"/>
  </r>
  <r>
    <x v="9"/>
    <x v="2"/>
    <x v="0"/>
  </r>
  <r>
    <x v="9"/>
    <x v="1"/>
    <x v="0"/>
  </r>
  <r>
    <x v="9"/>
    <x v="1"/>
    <x v="0"/>
  </r>
  <r>
    <x v="9"/>
    <x v="2"/>
    <x v="0"/>
  </r>
  <r>
    <x v="9"/>
    <x v="3"/>
    <x v="0"/>
  </r>
  <r>
    <x v="9"/>
    <x v="2"/>
    <x v="0"/>
  </r>
  <r>
    <x v="9"/>
    <x v="2"/>
    <x v="0"/>
  </r>
  <r>
    <x v="9"/>
    <x v="2"/>
    <x v="0"/>
  </r>
  <r>
    <x v="9"/>
    <x v="3"/>
    <x v="0"/>
  </r>
  <r>
    <x v="9"/>
    <x v="2"/>
    <x v="0"/>
  </r>
  <r>
    <x v="9"/>
    <x v="2"/>
    <x v="0"/>
  </r>
  <r>
    <x v="9"/>
    <x v="2"/>
    <x v="0"/>
  </r>
  <r>
    <x v="1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5" cacheId="26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6" indent="0" outline="1" outlineData="1" multipleFieldFilters="0" chartFormat="29" fieldListSortAscending="1">
  <location ref="A6:C18" firstHeaderRow="0" firstDataRow="1" firstDataCol="1"/>
  <pivotFields count="3">
    <pivotField name="HORA" axis="axisRow" numFmtId="164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 defaultSubtotal="0"/>
    <pivotField dataField="1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Vendas Sipag" fld="1" subtotal="count" baseField="0" baseItem="0"/>
    <dataField name="Vendas 7Pay" fld="2" subtotal="count" baseField="0" baseItem="1"/>
  </dataFields>
  <formats count="1">
    <format dxfId="4">
      <pivotArea dataOnly="0" labelOnly="1" fieldPosition="0">
        <references count="1">
          <reference field="0" count="0"/>
        </references>
      </pivotArea>
    </format>
  </formats>
  <chartFormats count="6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00000000-0016-0000-0100-000000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DATA DA VENDA" tableColumnId="21"/>
      <queryTableField id="2" name="STATUS" tableColumnId="22"/>
      <queryTableField id="3" name="VALOR BRUTO" tableColumnId="23"/>
      <queryTableField id="4" name="TIPO VENDA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00000000-0016-0000-0200-000001000000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DATA DA VENDA" tableColumnId="16"/>
      <queryTableField id="2" name="Forma de Pagamento" tableColumnId="17"/>
      <queryTableField id="3" name="Total plano de vend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_7Pay_2" displayName="Tabela_7Pay_2" ref="A6:D87" tableType="queryTable" totalsRowShown="0">
  <autoFilter ref="A6:D87" xr:uid="{00000000-000C-0000-FFFF-FFFF00000000}"/>
  <sortState xmlns:xlrd2="http://schemas.microsoft.com/office/spreadsheetml/2017/richdata2" ref="A7:D64">
    <sortCondition ref="D6:D64"/>
  </sortState>
  <tableColumns count="4">
    <tableColumn id="21" xr3:uid="{DE82C918-A0FE-445C-9AF0-CC92677CAED0}" uniqueName="21" name="DATA DA VENDA" queryTableFieldId="1" dataDxfId="3"/>
    <tableColumn id="22" xr3:uid="{19840E70-2891-4196-9899-81D9B3B7359F}" uniqueName="22" name="STATUS" queryTableFieldId="2"/>
    <tableColumn id="23" xr3:uid="{B7577882-22D9-4025-B3A0-2A9ADBDE368B}" uniqueName="23" name="VALOR BRUTO" queryTableFieldId="3"/>
    <tableColumn id="24" xr3:uid="{A5357177-CC29-46D2-A16D-A5B6C7E615AE}" uniqueName="24" name="TIPO VENDA" queryTableFieldId="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_Sipag_2" displayName="Tabela_Sipag_2" ref="A6:C120" tableType="queryTable" totalsRowShown="0">
  <autoFilter ref="A6:C120" xr:uid="{00000000-000C-0000-FFFF-FFFF01000000}"/>
  <tableColumns count="3">
    <tableColumn id="16" xr3:uid="{E82FFCF5-8F23-45A7-BE35-3B74276AFD4B}" uniqueName="16" name="DATA DA VENDA" queryTableFieldId="1" dataDxfId="2"/>
    <tableColumn id="17" xr3:uid="{7F6E27F6-A47C-4BC1-8256-7DF6CB85B8E3}" uniqueName="17" name="Forma de Pagamento" queryTableFieldId="2"/>
    <tableColumn id="18" xr3:uid="{445A5DF5-BAA7-4DC0-9128-A2468D5517CB}" uniqueName="18" name="Total plano de venda" queryTableFieldId="3"/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ela_7Pay" displayName="Tabela_7Pay" ref="A1:S240" totalsRowShown="0">
  <autoFilter ref="A1:S240" xr:uid="{00000000-0009-0000-0100-000001000000}"/>
  <tableColumns count="19">
    <tableColumn id="1" xr3:uid="{00000000-0010-0000-0200-000001000000}" name="ID"/>
    <tableColumn id="2" xr3:uid="{00000000-0010-0000-0200-000002000000}" name="ID TRANSAÇÃO ZOOP"/>
    <tableColumn id="3" xr3:uid="{00000000-0010-0000-0200-000003000000}" name="DATA DA VENDA" dataDxfId="8"/>
    <tableColumn id="4" xr3:uid="{00000000-0010-0000-0200-000004000000}" name="ID SELLER ZOOP"/>
    <tableColumn id="5" xr3:uid="{00000000-0010-0000-0200-000005000000}" name="CPF / CNPJ"/>
    <tableColumn id="6" xr3:uid="{00000000-0010-0000-0200-000006000000}" name="DESCRIÇÃO EXTRATO"/>
    <tableColumn id="7" xr3:uid="{00000000-0010-0000-0200-000007000000}" name="STATUS"/>
    <tableColumn id="8" xr3:uid="{00000000-0010-0000-0200-000008000000}" name="VALOR BRUTO"/>
    <tableColumn id="9" xr3:uid="{00000000-0010-0000-0200-000009000000}" name="VALOR LIQUIDO"/>
    <tableColumn id="10" xr3:uid="{00000000-0010-0000-0200-00000A000000}" name="VALOR TAXA"/>
    <tableColumn id="11" xr3:uid="{00000000-0010-0000-0200-00000B000000}" name="TIPO VENDA"/>
    <tableColumn id="12" xr3:uid="{00000000-0010-0000-0200-00000C000000}" name="PORTADOR CARTAO"/>
    <tableColumn id="13" xr3:uid="{00000000-0010-0000-0200-00000D000000}" name="BANDEIRA CARTAO"/>
    <tableColumn id="14" xr3:uid="{00000000-0010-0000-0200-00000E000000}" name="MODO CAPTURA"/>
    <tableColumn id="15" xr3:uid="{00000000-0010-0000-0200-00000F000000}" name="VALIDADE DO CARTAO"/>
    <tableColumn id="16" xr3:uid="{00000000-0010-0000-0200-000010000000}" name="ULTIMOS 4 DIGITOS DO CARTÃO"/>
    <tableColumn id="17" xr3:uid="{00000000-0010-0000-0200-000011000000}" name="NUMERO PARCELAS"/>
    <tableColumn id="18" xr3:uid="{00000000-0010-0000-0200-000012000000}" name="NOME EMPRESA"/>
    <tableColumn id="19" xr3:uid="{00000000-0010-0000-0200-000013000000}" name="NUMERO IDENTIFICADOR ENTRADA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a_Sipag" displayName="Tabela_Sipag" ref="A1:C126" totalsRowShown="0" headerRowCellStyle="Normal 2">
  <autoFilter ref="A1:C126" xr:uid="{00000000-0009-0000-0100-000002000000}"/>
  <tableColumns count="3">
    <tableColumn id="1" xr3:uid="{00000000-0010-0000-0300-000001000000}" name="Data da transação" dataDxfId="7" dataCellStyle="Normal 2"/>
    <tableColumn id="2" xr3:uid="{00000000-0010-0000-0300-000002000000}" name="Forma de Pagamento" dataCellStyle="Normal 2"/>
    <tableColumn id="3" xr3:uid="{00000000-0010-0000-0300-000003000000}" name="Total plano de venda" dataDxfId="6" dataCellStyle="Normal 2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Filtro_Periodo" displayName="Filtro_Periodo" ref="A1:B3" totalsRowShown="0">
  <autoFilter ref="A1:B3" xr:uid="{00000000-0009-0000-0100-000007000000}"/>
  <tableColumns count="2">
    <tableColumn id="1" xr3:uid="{00000000-0010-0000-0400-000001000000}" name="Coluna1"/>
    <tableColumn id="2" xr3:uid="{00000000-0010-0000-0400-000002000000}" name="Coluna2" dataDxfId="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42"/>
  <sheetViews>
    <sheetView tabSelected="1" zoomScale="55" zoomScaleNormal="55" workbookViewId="0">
      <selection activeCell="Q48" sqref="Q48"/>
    </sheetView>
  </sheetViews>
  <sheetFormatPr defaultRowHeight="15" x14ac:dyDescent="0.25"/>
  <cols>
    <col min="1" max="2" width="9.140625" style="24"/>
    <col min="3" max="3" width="11.5703125" style="24" customWidth="1"/>
    <col min="4" max="4" width="9.140625" style="24"/>
    <col min="5" max="5" width="20.42578125" style="24" customWidth="1"/>
    <col min="6" max="6" width="10.28515625" style="24" customWidth="1"/>
    <col min="7" max="7" width="19.7109375" style="24" customWidth="1"/>
    <col min="8" max="8" width="9.140625" style="24"/>
    <col min="9" max="9" width="13" style="24" customWidth="1"/>
    <col min="10" max="10" width="2.85546875" style="24" customWidth="1"/>
    <col min="11" max="15" width="9.140625" style="24"/>
    <col min="16" max="16" width="27" style="24" customWidth="1"/>
    <col min="17" max="17" width="25.140625" style="24" customWidth="1"/>
    <col min="18" max="18" width="7.85546875" style="24" customWidth="1"/>
    <col min="19" max="19" width="8.7109375" style="24" customWidth="1"/>
    <col min="20" max="20" width="6.85546875" style="24" customWidth="1"/>
    <col min="21" max="21" width="9.140625" style="24" customWidth="1"/>
    <col min="22" max="22" width="2.140625" style="24" customWidth="1"/>
    <col min="23" max="16384" width="9.140625" style="24"/>
  </cols>
  <sheetData>
    <row r="1" spans="2:38" ht="15" customHeight="1" x14ac:dyDescent="0.25"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</row>
    <row r="2" spans="2:38" ht="15" customHeight="1" x14ac:dyDescent="0.25">
      <c r="B2" s="25" t="s">
        <v>54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75"/>
    </row>
    <row r="3" spans="2:38" ht="15" customHeight="1" x14ac:dyDescent="0.2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75"/>
    </row>
    <row r="4" spans="2:38" ht="15" customHeight="1" x14ac:dyDescent="0.2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75"/>
    </row>
    <row r="5" spans="2:38" ht="15" customHeight="1" x14ac:dyDescent="0.2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75"/>
    </row>
    <row r="6" spans="2:38" ht="15" customHeight="1" x14ac:dyDescent="0.2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75"/>
    </row>
    <row r="7" spans="2:38" ht="15" customHeight="1" x14ac:dyDescent="0.25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75"/>
    </row>
    <row r="8" spans="2:38" ht="46.5" customHeight="1" x14ac:dyDescent="0.2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</row>
    <row r="9" spans="2:38" ht="15" customHeight="1" x14ac:dyDescent="0.25">
      <c r="B9" s="37"/>
      <c r="C9" s="38"/>
      <c r="D9" s="38"/>
      <c r="E9" s="38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8"/>
      <c r="R9" s="26"/>
      <c r="S9" s="52"/>
      <c r="T9" s="47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9"/>
      <c r="AK9" s="40"/>
    </row>
    <row r="10" spans="2:38" ht="15" customHeight="1" x14ac:dyDescent="0.25">
      <c r="B10" s="49"/>
      <c r="C10" s="27"/>
      <c r="D10" s="28" t="s">
        <v>50</v>
      </c>
      <c r="E10" s="28"/>
      <c r="F10" s="28" t="s">
        <v>55</v>
      </c>
      <c r="G10" s="28"/>
      <c r="H10" s="28" t="s">
        <v>49</v>
      </c>
      <c r="I10" s="28"/>
      <c r="J10" s="27"/>
      <c r="K10" s="29"/>
      <c r="L10" s="29"/>
      <c r="M10" s="29"/>
      <c r="N10" s="29"/>
      <c r="O10" s="29"/>
      <c r="P10" s="29"/>
      <c r="Q10" s="42"/>
      <c r="S10" s="41"/>
      <c r="T10" s="28" t="s">
        <v>256</v>
      </c>
      <c r="U10" s="28"/>
      <c r="V10" s="28"/>
      <c r="W10" s="28"/>
      <c r="X10" s="28"/>
      <c r="Y10" s="28"/>
      <c r="Z10" s="28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42"/>
    </row>
    <row r="11" spans="2:38" ht="15" customHeight="1" x14ac:dyDescent="0.25">
      <c r="B11" s="49"/>
      <c r="C11" s="27"/>
      <c r="D11" s="28"/>
      <c r="E11" s="28"/>
      <c r="F11" s="28"/>
      <c r="G11" s="28"/>
      <c r="H11" s="28"/>
      <c r="I11" s="28"/>
      <c r="J11" s="27"/>
      <c r="K11" s="29"/>
      <c r="L11" s="29"/>
      <c r="M11" s="29"/>
      <c r="N11" s="29"/>
      <c r="O11" s="29"/>
      <c r="P11" s="29"/>
      <c r="Q11" s="42"/>
      <c r="S11" s="41"/>
      <c r="T11" s="28"/>
      <c r="U11" s="28"/>
      <c r="V11" s="28"/>
      <c r="W11" s="28"/>
      <c r="X11" s="28"/>
      <c r="Y11" s="28"/>
      <c r="Z11" s="28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42"/>
    </row>
    <row r="12" spans="2:38" ht="15" customHeight="1" x14ac:dyDescent="0.25">
      <c r="B12" s="49"/>
      <c r="C12" s="27"/>
      <c r="D12" s="28"/>
      <c r="E12" s="28"/>
      <c r="F12" s="28"/>
      <c r="G12" s="28"/>
      <c r="H12" s="28"/>
      <c r="I12" s="28"/>
      <c r="J12" s="27"/>
      <c r="K12" s="29"/>
      <c r="L12" s="29"/>
      <c r="M12" s="29"/>
      <c r="N12" s="29"/>
      <c r="O12" s="29"/>
      <c r="P12" s="29"/>
      <c r="Q12" s="42"/>
      <c r="S12" s="41"/>
      <c r="T12" s="28"/>
      <c r="U12" s="28"/>
      <c r="V12" s="28"/>
      <c r="W12" s="28"/>
      <c r="X12" s="28"/>
      <c r="Y12" s="28"/>
      <c r="Z12" s="28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42"/>
    </row>
    <row r="13" spans="2:38" x14ac:dyDescent="0.25">
      <c r="B13" s="50" t="s">
        <v>38</v>
      </c>
      <c r="C13" s="28"/>
      <c r="D13" s="66">
        <v>3756.11</v>
      </c>
      <c r="E13" s="67"/>
      <c r="F13" s="68">
        <f>IF(IFERROR('Fechamento 7Pay'!C4, 0) + IFERROR('Fechamento Sipag'!C4, 0)=0, "", IFERROR('Fechamento 7Pay'!C4, 0) + IFERROR('Fechamento Sipag'!C4, 0))</f>
        <v>3756.0999999999995</v>
      </c>
      <c r="G13" s="67"/>
      <c r="H13" s="66">
        <f>IF(SUM(F13)-SUM(D13)=0, "", SUM(F13)-SUM(D13))</f>
        <v>-1.0000000000673026E-2</v>
      </c>
      <c r="I13" s="66"/>
      <c r="J13" s="27"/>
      <c r="K13" s="29"/>
      <c r="L13" s="29"/>
      <c r="M13" s="29"/>
      <c r="N13" s="29"/>
      <c r="O13" s="29"/>
      <c r="P13" s="29"/>
      <c r="Q13" s="42"/>
      <c r="S13" s="41"/>
      <c r="T13" s="31" t="s">
        <v>38</v>
      </c>
      <c r="U13" s="31"/>
      <c r="V13" s="31"/>
      <c r="W13" s="66">
        <f>IF('Fechamento Sipag'!C4=0, "", 'Fechamento Sipag'!C4)</f>
        <v>2543.1099999999997</v>
      </c>
      <c r="X13" s="66"/>
      <c r="Y13" s="66"/>
      <c r="Z13" s="66"/>
      <c r="AA13" s="29"/>
      <c r="AB13" s="29"/>
      <c r="AC13" s="29"/>
      <c r="AD13" s="29"/>
      <c r="AE13" s="29"/>
      <c r="AF13" s="29"/>
      <c r="AG13" s="29"/>
      <c r="AH13" s="29"/>
      <c r="AI13" s="29"/>
      <c r="AJ13" s="30"/>
      <c r="AK13" s="42"/>
    </row>
    <row r="14" spans="2:38" x14ac:dyDescent="0.25">
      <c r="B14" s="50"/>
      <c r="C14" s="28"/>
      <c r="D14" s="66"/>
      <c r="E14" s="67"/>
      <c r="F14" s="68"/>
      <c r="G14" s="67"/>
      <c r="H14" s="66"/>
      <c r="I14" s="66"/>
      <c r="J14" s="27"/>
      <c r="K14" s="29"/>
      <c r="L14" s="29"/>
      <c r="M14" s="29"/>
      <c r="N14" s="29"/>
      <c r="O14" s="29"/>
      <c r="P14" s="29"/>
      <c r="Q14" s="42"/>
      <c r="S14" s="41"/>
      <c r="T14" s="31"/>
      <c r="U14" s="31"/>
      <c r="V14" s="31"/>
      <c r="W14" s="66"/>
      <c r="X14" s="66"/>
      <c r="Y14" s="66"/>
      <c r="Z14" s="66"/>
      <c r="AA14" s="29"/>
      <c r="AB14" s="29"/>
      <c r="AC14" s="29"/>
      <c r="AD14" s="29"/>
      <c r="AE14" s="29"/>
      <c r="AF14" s="29"/>
      <c r="AG14" s="29"/>
      <c r="AH14" s="29"/>
      <c r="AI14" s="29"/>
      <c r="AJ14" s="30"/>
      <c r="AK14" s="42"/>
    </row>
    <row r="15" spans="2:38" x14ac:dyDescent="0.25">
      <c r="B15" s="50"/>
      <c r="C15" s="28"/>
      <c r="D15" s="66"/>
      <c r="E15" s="67"/>
      <c r="F15" s="68"/>
      <c r="G15" s="67"/>
      <c r="H15" s="66"/>
      <c r="I15" s="66"/>
      <c r="J15" s="27"/>
      <c r="K15" s="29"/>
      <c r="L15" s="29"/>
      <c r="M15" s="29"/>
      <c r="N15" s="29"/>
      <c r="O15" s="29"/>
      <c r="P15" s="29"/>
      <c r="Q15" s="42"/>
      <c r="S15" s="41"/>
      <c r="T15" s="31"/>
      <c r="U15" s="31"/>
      <c r="V15" s="31"/>
      <c r="W15" s="66"/>
      <c r="X15" s="66"/>
      <c r="Y15" s="66"/>
      <c r="Z15" s="66"/>
      <c r="AA15" s="29"/>
      <c r="AB15" s="29"/>
      <c r="AC15" s="29"/>
      <c r="AD15" s="29"/>
      <c r="AE15" s="29"/>
      <c r="AF15" s="29"/>
      <c r="AG15" s="29"/>
      <c r="AH15" s="29"/>
      <c r="AI15" s="29"/>
      <c r="AJ15" s="30"/>
      <c r="AK15" s="42"/>
    </row>
    <row r="16" spans="2:38" x14ac:dyDescent="0.25">
      <c r="B16" s="50" t="s">
        <v>34</v>
      </c>
      <c r="C16" s="28"/>
      <c r="D16" s="69">
        <v>13438.88</v>
      </c>
      <c r="E16" s="70"/>
      <c r="F16" s="71">
        <f>IF(IFERROR('Fechamento 7Pay'!C2, 0) + IFERROR('Fechamento Sipag'!C2, 0)=0, "", IFERROR('Fechamento 7Pay'!C2, 0) + IFERROR('Fechamento Sipag'!C2, 0))</f>
        <v>13438.89</v>
      </c>
      <c r="G16" s="70"/>
      <c r="H16" s="69">
        <f>IF(SUM(F16)-SUM(D16)=0, "", SUM(F16)-SUM(D16))</f>
        <v>1.0000000000218279E-2</v>
      </c>
      <c r="I16" s="69"/>
      <c r="J16" s="27"/>
      <c r="K16" s="29"/>
      <c r="L16" s="29"/>
      <c r="M16" s="29"/>
      <c r="N16" s="29"/>
      <c r="O16" s="29"/>
      <c r="P16" s="29"/>
      <c r="Q16" s="42"/>
      <c r="S16" s="41"/>
      <c r="T16" s="31" t="s">
        <v>34</v>
      </c>
      <c r="U16" s="31"/>
      <c r="V16" s="31"/>
      <c r="W16" s="69">
        <f>IF('Fechamento Sipag'!C2=0, "", 'Fechamento Sipag'!C2)</f>
        <v>8472.7199999999975</v>
      </c>
      <c r="X16" s="69"/>
      <c r="Y16" s="69"/>
      <c r="Z16" s="69"/>
      <c r="AA16" s="29"/>
      <c r="AB16" s="29"/>
      <c r="AC16" s="29"/>
      <c r="AD16" s="29"/>
      <c r="AE16" s="29"/>
      <c r="AF16" s="29"/>
      <c r="AG16" s="29"/>
      <c r="AH16" s="29"/>
      <c r="AI16" s="29"/>
      <c r="AJ16" s="30"/>
      <c r="AK16" s="42"/>
    </row>
    <row r="17" spans="2:37" x14ac:dyDescent="0.25">
      <c r="B17" s="50"/>
      <c r="C17" s="28"/>
      <c r="D17" s="66"/>
      <c r="E17" s="67"/>
      <c r="F17" s="68"/>
      <c r="G17" s="67"/>
      <c r="H17" s="66"/>
      <c r="I17" s="66"/>
      <c r="J17" s="27"/>
      <c r="K17" s="29"/>
      <c r="L17" s="29"/>
      <c r="M17" s="29"/>
      <c r="N17" s="29"/>
      <c r="O17" s="29"/>
      <c r="P17" s="29"/>
      <c r="Q17" s="42"/>
      <c r="S17" s="41"/>
      <c r="T17" s="31"/>
      <c r="U17" s="31"/>
      <c r="V17" s="31"/>
      <c r="W17" s="66"/>
      <c r="X17" s="66"/>
      <c r="Y17" s="66"/>
      <c r="Z17" s="66"/>
      <c r="AA17" s="29"/>
      <c r="AB17" s="29"/>
      <c r="AC17" s="29"/>
      <c r="AD17" s="29"/>
      <c r="AE17" s="29"/>
      <c r="AF17" s="29"/>
      <c r="AG17" s="29"/>
      <c r="AH17" s="29"/>
      <c r="AI17" s="29"/>
      <c r="AJ17" s="30"/>
      <c r="AK17" s="42"/>
    </row>
    <row r="18" spans="2:37" x14ac:dyDescent="0.25">
      <c r="B18" s="50"/>
      <c r="C18" s="28"/>
      <c r="D18" s="66"/>
      <c r="E18" s="67"/>
      <c r="F18" s="68"/>
      <c r="G18" s="67"/>
      <c r="H18" s="66"/>
      <c r="I18" s="66"/>
      <c r="J18" s="27"/>
      <c r="K18" s="29"/>
      <c r="L18" s="29"/>
      <c r="M18" s="29"/>
      <c r="N18" s="29"/>
      <c r="O18" s="29"/>
      <c r="P18" s="29"/>
      <c r="Q18" s="42"/>
      <c r="S18" s="41"/>
      <c r="T18" s="31"/>
      <c r="U18" s="31"/>
      <c r="V18" s="31"/>
      <c r="W18" s="72"/>
      <c r="X18" s="72"/>
      <c r="Y18" s="72"/>
      <c r="Z18" s="72"/>
      <c r="AA18" s="29"/>
      <c r="AB18" s="29"/>
      <c r="AC18" s="29"/>
      <c r="AD18" s="29"/>
      <c r="AE18" s="29"/>
      <c r="AF18" s="29"/>
      <c r="AG18" s="29"/>
      <c r="AH18" s="29"/>
      <c r="AI18" s="29"/>
      <c r="AJ18" s="30"/>
      <c r="AK18" s="42"/>
    </row>
    <row r="19" spans="2:37" x14ac:dyDescent="0.25">
      <c r="B19" s="50" t="s">
        <v>33</v>
      </c>
      <c r="C19" s="28"/>
      <c r="D19" s="69">
        <v>7334.08</v>
      </c>
      <c r="E19" s="70"/>
      <c r="F19" s="71">
        <f>IF(IFERROR('Fechamento 7Pay'!C3, 0) + IFERROR('Fechamento Sipag'!C3, 0)=0, "", IFERROR('Fechamento 7Pay'!C3, 0) + IFERROR('Fechamento Sipag'!C3, 0))</f>
        <v>7334.0800000000017</v>
      </c>
      <c r="G19" s="70"/>
      <c r="H19" s="69">
        <f>IF(SUM(F19)-SUM(D19)=0, "", SUM(F19)-SUM(D19))</f>
        <v>1.8189894035458565E-12</v>
      </c>
      <c r="I19" s="69"/>
      <c r="J19" s="27"/>
      <c r="K19" s="29"/>
      <c r="L19" s="29"/>
      <c r="M19" s="29"/>
      <c r="N19" s="29"/>
      <c r="O19" s="29"/>
      <c r="P19" s="29"/>
      <c r="Q19" s="42"/>
      <c r="S19" s="41"/>
      <c r="T19" s="31" t="s">
        <v>33</v>
      </c>
      <c r="U19" s="31"/>
      <c r="V19" s="31"/>
      <c r="W19" s="69">
        <f>IF('Fechamento Sipag'!C3=0, "", 'Fechamento Sipag'!C3)</f>
        <v>4178.630000000001</v>
      </c>
      <c r="X19" s="69"/>
      <c r="Y19" s="69"/>
      <c r="Z19" s="69"/>
      <c r="AA19" s="29"/>
      <c r="AB19" s="29"/>
      <c r="AC19" s="29"/>
      <c r="AD19" s="29"/>
      <c r="AE19" s="29"/>
      <c r="AF19" s="29"/>
      <c r="AG19" s="29"/>
      <c r="AH19" s="29"/>
      <c r="AI19" s="29"/>
      <c r="AJ19" s="30"/>
      <c r="AK19" s="42"/>
    </row>
    <row r="20" spans="2:37" x14ac:dyDescent="0.25">
      <c r="B20" s="50"/>
      <c r="C20" s="28"/>
      <c r="D20" s="66"/>
      <c r="E20" s="67"/>
      <c r="F20" s="68"/>
      <c r="G20" s="67"/>
      <c r="H20" s="66"/>
      <c r="I20" s="66"/>
      <c r="J20" s="27"/>
      <c r="K20" s="29"/>
      <c r="L20" s="29"/>
      <c r="M20" s="29"/>
      <c r="N20" s="29"/>
      <c r="O20" s="29"/>
      <c r="P20" s="29"/>
      <c r="Q20" s="42"/>
      <c r="S20" s="41"/>
      <c r="T20" s="31"/>
      <c r="U20" s="31"/>
      <c r="V20" s="31"/>
      <c r="W20" s="66"/>
      <c r="X20" s="66"/>
      <c r="Y20" s="66"/>
      <c r="Z20" s="66"/>
      <c r="AA20" s="29"/>
      <c r="AB20" s="29"/>
      <c r="AC20" s="29"/>
      <c r="AD20" s="29"/>
      <c r="AE20" s="29"/>
      <c r="AF20" s="29"/>
      <c r="AG20" s="29"/>
      <c r="AH20" s="29"/>
      <c r="AI20" s="29"/>
      <c r="AJ20" s="30"/>
      <c r="AK20" s="42"/>
    </row>
    <row r="21" spans="2:37" x14ac:dyDescent="0.25">
      <c r="B21" s="50"/>
      <c r="C21" s="28"/>
      <c r="D21" s="72"/>
      <c r="E21" s="73"/>
      <c r="F21" s="74"/>
      <c r="G21" s="73"/>
      <c r="H21" s="72"/>
      <c r="I21" s="72"/>
      <c r="J21" s="27"/>
      <c r="K21" s="29"/>
      <c r="L21" s="29"/>
      <c r="M21" s="29"/>
      <c r="N21" s="29"/>
      <c r="O21" s="29"/>
      <c r="P21" s="29"/>
      <c r="Q21" s="42"/>
      <c r="S21" s="41"/>
      <c r="T21" s="31"/>
      <c r="U21" s="31"/>
      <c r="V21" s="31"/>
      <c r="W21" s="72"/>
      <c r="X21" s="72"/>
      <c r="Y21" s="72"/>
      <c r="Z21" s="72"/>
      <c r="AA21" s="29"/>
      <c r="AB21" s="29"/>
      <c r="AC21" s="29"/>
      <c r="AD21" s="29"/>
      <c r="AE21" s="29"/>
      <c r="AF21" s="29"/>
      <c r="AG21" s="29"/>
      <c r="AH21" s="29"/>
      <c r="AI21" s="29"/>
      <c r="AJ21" s="30"/>
      <c r="AK21" s="42"/>
    </row>
    <row r="22" spans="2:37" ht="15" customHeight="1" x14ac:dyDescent="0.25">
      <c r="B22" s="50" t="s">
        <v>52</v>
      </c>
      <c r="C22" s="28"/>
      <c r="D22" s="69">
        <v>617.69000000000005</v>
      </c>
      <c r="E22" s="70"/>
      <c r="F22" s="71">
        <v>618</v>
      </c>
      <c r="G22" s="70"/>
      <c r="H22" s="69">
        <f>IF(F22-D22=0, "", F22-D22)</f>
        <v>0.30999999999994543</v>
      </c>
      <c r="I22" s="69"/>
      <c r="J22" s="27"/>
      <c r="K22" s="29"/>
      <c r="L22" s="29"/>
      <c r="M22" s="29"/>
      <c r="N22" s="29"/>
      <c r="O22" s="29"/>
      <c r="P22" s="29"/>
      <c r="Q22" s="42"/>
      <c r="S22" s="41"/>
      <c r="T22" s="31" t="s">
        <v>51</v>
      </c>
      <c r="U22" s="31"/>
      <c r="V22" s="31"/>
      <c r="W22" s="53">
        <f>IF('Fechamento Sipag'!C5=0, "", 'Fechamento Sipag'!C5)</f>
        <v>15194.46</v>
      </c>
      <c r="X22" s="53"/>
      <c r="Y22" s="53"/>
      <c r="Z22" s="53"/>
      <c r="AA22" s="29"/>
      <c r="AB22" s="29"/>
      <c r="AC22" s="29"/>
      <c r="AD22" s="29"/>
      <c r="AE22" s="29"/>
      <c r="AF22" s="29"/>
      <c r="AG22" s="29"/>
      <c r="AH22" s="29"/>
      <c r="AI22" s="29"/>
      <c r="AJ22" s="30"/>
      <c r="AK22" s="42"/>
    </row>
    <row r="23" spans="2:37" ht="15" customHeight="1" x14ac:dyDescent="0.25">
      <c r="B23" s="50"/>
      <c r="C23" s="28"/>
      <c r="D23" s="66"/>
      <c r="E23" s="67"/>
      <c r="F23" s="68"/>
      <c r="G23" s="67"/>
      <c r="H23" s="66"/>
      <c r="I23" s="66"/>
      <c r="J23" s="27"/>
      <c r="K23" s="29"/>
      <c r="L23" s="29"/>
      <c r="M23" s="29"/>
      <c r="N23" s="29"/>
      <c r="O23" s="29"/>
      <c r="P23" s="29"/>
      <c r="Q23" s="42"/>
      <c r="S23" s="41"/>
      <c r="T23" s="31"/>
      <c r="U23" s="31"/>
      <c r="V23" s="31"/>
      <c r="W23" s="53"/>
      <c r="X23" s="53"/>
      <c r="Y23" s="53"/>
      <c r="Z23" s="53"/>
      <c r="AA23" s="29"/>
      <c r="AB23" s="29"/>
      <c r="AC23" s="29"/>
      <c r="AD23" s="29"/>
      <c r="AE23" s="29"/>
      <c r="AF23" s="29"/>
      <c r="AG23" s="29"/>
      <c r="AH23" s="29"/>
      <c r="AI23" s="29"/>
      <c r="AJ23" s="30"/>
      <c r="AK23" s="42"/>
    </row>
    <row r="24" spans="2:37" ht="15" customHeight="1" x14ac:dyDescent="0.25">
      <c r="B24" s="50"/>
      <c r="C24" s="28"/>
      <c r="D24" s="66"/>
      <c r="E24" s="67"/>
      <c r="F24" s="68"/>
      <c r="G24" s="67"/>
      <c r="H24" s="66"/>
      <c r="I24" s="66"/>
      <c r="J24" s="27"/>
      <c r="K24" s="29"/>
      <c r="L24" s="29"/>
      <c r="M24" s="29"/>
      <c r="N24" s="29"/>
      <c r="O24" s="29"/>
      <c r="P24" s="29"/>
      <c r="Q24" s="42"/>
      <c r="S24" s="41"/>
      <c r="T24" s="31"/>
      <c r="U24" s="31"/>
      <c r="V24" s="31"/>
      <c r="W24" s="53"/>
      <c r="X24" s="53"/>
      <c r="Y24" s="53"/>
      <c r="Z24" s="53"/>
      <c r="AA24" s="29"/>
      <c r="AB24" s="29"/>
      <c r="AC24" s="29"/>
      <c r="AD24" s="29"/>
      <c r="AE24" s="29"/>
      <c r="AF24" s="29"/>
      <c r="AG24" s="29"/>
      <c r="AH24" s="29"/>
      <c r="AI24" s="29"/>
      <c r="AJ24" s="30"/>
      <c r="AK24" s="42"/>
    </row>
    <row r="25" spans="2:37" ht="15" customHeight="1" x14ac:dyDescent="0.25">
      <c r="B25" s="50" t="s">
        <v>53</v>
      </c>
      <c r="C25" s="28"/>
      <c r="D25" s="69"/>
      <c r="E25" s="70"/>
      <c r="F25" s="71"/>
      <c r="G25" s="70"/>
      <c r="H25" s="69" t="str">
        <f>IF(F25-D25=0, "", F25-D25)</f>
        <v/>
      </c>
      <c r="I25" s="69"/>
      <c r="J25" s="27"/>
      <c r="K25" s="29"/>
      <c r="L25" s="29"/>
      <c r="M25" s="29"/>
      <c r="N25" s="29"/>
      <c r="O25" s="29"/>
      <c r="P25" s="29"/>
      <c r="Q25" s="42"/>
      <c r="S25" s="41"/>
      <c r="T25" s="32"/>
      <c r="U25" s="32"/>
      <c r="V25" s="32"/>
      <c r="W25" s="33"/>
      <c r="X25" s="33"/>
      <c r="Y25" s="33"/>
      <c r="Z25" s="33"/>
      <c r="AA25" s="29"/>
      <c r="AB25" s="29"/>
      <c r="AC25" s="29"/>
      <c r="AD25" s="29"/>
      <c r="AE25" s="29"/>
      <c r="AF25" s="29"/>
      <c r="AG25" s="29"/>
      <c r="AH25" s="29"/>
      <c r="AI25" s="29"/>
      <c r="AJ25" s="30"/>
      <c r="AK25" s="42"/>
    </row>
    <row r="26" spans="2:37" ht="15" customHeight="1" x14ac:dyDescent="0.25">
      <c r="B26" s="50"/>
      <c r="C26" s="28"/>
      <c r="D26" s="66"/>
      <c r="E26" s="67"/>
      <c r="F26" s="68"/>
      <c r="G26" s="67"/>
      <c r="H26" s="66"/>
      <c r="I26" s="66"/>
      <c r="J26" s="27"/>
      <c r="K26" s="29"/>
      <c r="L26" s="29"/>
      <c r="M26" s="29"/>
      <c r="N26" s="29"/>
      <c r="O26" s="29"/>
      <c r="P26" s="29"/>
      <c r="Q26" s="42"/>
      <c r="S26" s="41"/>
      <c r="T26" s="28" t="s">
        <v>258</v>
      </c>
      <c r="U26" s="28"/>
      <c r="V26" s="28"/>
      <c r="W26" s="28"/>
      <c r="X26" s="28"/>
      <c r="Y26" s="28"/>
      <c r="Z26" s="28"/>
      <c r="AA26" s="29"/>
      <c r="AB26" s="29"/>
      <c r="AC26" s="29"/>
      <c r="AD26" s="29"/>
      <c r="AE26" s="29"/>
      <c r="AF26" s="29"/>
      <c r="AG26" s="29"/>
      <c r="AH26" s="29"/>
      <c r="AI26" s="29"/>
      <c r="AJ26" s="30"/>
      <c r="AK26" s="42"/>
    </row>
    <row r="27" spans="2:37" ht="15" customHeight="1" x14ac:dyDescent="0.25">
      <c r="B27" s="50"/>
      <c r="C27" s="28"/>
      <c r="D27" s="72"/>
      <c r="E27" s="73"/>
      <c r="F27" s="74"/>
      <c r="G27" s="73"/>
      <c r="H27" s="72"/>
      <c r="I27" s="72"/>
      <c r="J27" s="27"/>
      <c r="K27" s="29"/>
      <c r="L27" s="29"/>
      <c r="M27" s="29"/>
      <c r="N27" s="29"/>
      <c r="O27" s="29"/>
      <c r="P27" s="29"/>
      <c r="Q27" s="42"/>
      <c r="S27" s="41"/>
      <c r="T27" s="28"/>
      <c r="U27" s="28"/>
      <c r="V27" s="28"/>
      <c r="W27" s="28"/>
      <c r="X27" s="28"/>
      <c r="Y27" s="28"/>
      <c r="Z27" s="28"/>
      <c r="AA27" s="29"/>
      <c r="AB27" s="29"/>
      <c r="AC27" s="29"/>
      <c r="AD27" s="29"/>
      <c r="AE27" s="29"/>
      <c r="AF27" s="29"/>
      <c r="AG27" s="29"/>
      <c r="AH27" s="29"/>
      <c r="AI27" s="29"/>
      <c r="AJ27" s="30"/>
      <c r="AK27" s="42"/>
    </row>
    <row r="28" spans="2:37" ht="15" customHeight="1" x14ac:dyDescent="0.25">
      <c r="B28" s="50" t="s">
        <v>51</v>
      </c>
      <c r="C28" s="28"/>
      <c r="D28" s="53">
        <f>IF(SUM(D13:E27)=0,"",SUM(D13:E27))</f>
        <v>25146.76</v>
      </c>
      <c r="E28" s="54"/>
      <c r="F28" s="55">
        <f>IF(SUM(F13:G27)=0,"",SUM(F13:G27))</f>
        <v>25147.07</v>
      </c>
      <c r="G28" s="54"/>
      <c r="H28" s="53">
        <f>IF(SUM(F28)-SUM(D28)=0, "", SUM(F28)-SUM(D28))</f>
        <v>0.31000000000130967</v>
      </c>
      <c r="I28" s="53"/>
      <c r="J28" s="27"/>
      <c r="K28" s="29"/>
      <c r="L28" s="29"/>
      <c r="M28" s="29"/>
      <c r="N28" s="29"/>
      <c r="O28" s="29"/>
      <c r="P28" s="29"/>
      <c r="Q28" s="42"/>
      <c r="S28" s="41"/>
      <c r="T28" s="28"/>
      <c r="U28" s="28"/>
      <c r="V28" s="28"/>
      <c r="W28" s="28"/>
      <c r="X28" s="28"/>
      <c r="Y28" s="28"/>
      <c r="Z28" s="28"/>
      <c r="AA28" s="29"/>
      <c r="AB28" s="29"/>
      <c r="AC28" s="29"/>
      <c r="AD28" s="29"/>
      <c r="AE28" s="29"/>
      <c r="AF28" s="29"/>
      <c r="AG28" s="29"/>
      <c r="AH28" s="29"/>
      <c r="AI28" s="29"/>
      <c r="AJ28" s="30"/>
      <c r="AK28" s="42"/>
    </row>
    <row r="29" spans="2:37" ht="15" customHeight="1" x14ac:dyDescent="0.25">
      <c r="B29" s="50"/>
      <c r="C29" s="28"/>
      <c r="D29" s="53"/>
      <c r="E29" s="54"/>
      <c r="F29" s="55"/>
      <c r="G29" s="54"/>
      <c r="H29" s="53"/>
      <c r="I29" s="53"/>
      <c r="J29" s="27"/>
      <c r="K29" s="29"/>
      <c r="L29" s="29"/>
      <c r="M29" s="29"/>
      <c r="N29" s="29"/>
      <c r="O29" s="29"/>
      <c r="P29" s="29"/>
      <c r="Q29" s="42"/>
      <c r="S29" s="41"/>
      <c r="T29" s="31" t="s">
        <v>38</v>
      </c>
      <c r="U29" s="31"/>
      <c r="V29" s="31"/>
      <c r="W29" s="66">
        <f>IF('Fechamento 7Pay'!C4=0, "", 'Fechamento 7Pay'!C4)</f>
        <v>1212.99</v>
      </c>
      <c r="X29" s="66"/>
      <c r="Y29" s="66"/>
      <c r="Z29" s="66"/>
      <c r="AA29" s="29"/>
      <c r="AB29" s="29"/>
      <c r="AC29" s="29"/>
      <c r="AD29" s="29"/>
      <c r="AE29" s="29"/>
      <c r="AF29" s="29"/>
      <c r="AG29" s="29"/>
      <c r="AH29" s="29"/>
      <c r="AI29" s="29"/>
      <c r="AJ29" s="30"/>
      <c r="AK29" s="42"/>
    </row>
    <row r="30" spans="2:37" ht="15" customHeight="1" x14ac:dyDescent="0.25">
      <c r="B30" s="50"/>
      <c r="C30" s="28"/>
      <c r="D30" s="53"/>
      <c r="E30" s="54"/>
      <c r="F30" s="55"/>
      <c r="G30" s="54"/>
      <c r="H30" s="53"/>
      <c r="I30" s="53"/>
      <c r="J30" s="27"/>
      <c r="K30" s="29"/>
      <c r="L30" s="29"/>
      <c r="M30" s="29"/>
      <c r="N30" s="29"/>
      <c r="O30" s="29"/>
      <c r="P30" s="29"/>
      <c r="Q30" s="42"/>
      <c r="S30" s="41"/>
      <c r="T30" s="31"/>
      <c r="U30" s="31"/>
      <c r="V30" s="31"/>
      <c r="W30" s="66"/>
      <c r="X30" s="66"/>
      <c r="Y30" s="66"/>
      <c r="Z30" s="66"/>
      <c r="AA30" s="29"/>
      <c r="AB30" s="29"/>
      <c r="AC30" s="29"/>
      <c r="AD30" s="29"/>
      <c r="AE30" s="29"/>
      <c r="AF30" s="29"/>
      <c r="AG30" s="29"/>
      <c r="AH30" s="29"/>
      <c r="AI30" s="29"/>
      <c r="AJ30" s="30"/>
      <c r="AK30" s="42"/>
    </row>
    <row r="31" spans="2:37" ht="15.75" customHeight="1" x14ac:dyDescent="0.35">
      <c r="B31" s="51"/>
      <c r="C31" s="34"/>
      <c r="D31" s="27"/>
      <c r="E31" s="27"/>
      <c r="F31" s="27"/>
      <c r="G31" s="27"/>
      <c r="H31" s="27"/>
      <c r="I31" s="27"/>
      <c r="J31" s="27"/>
      <c r="K31" s="29"/>
      <c r="L31" s="29"/>
      <c r="M31" s="29"/>
      <c r="N31" s="29"/>
      <c r="O31" s="29"/>
      <c r="P31" s="29"/>
      <c r="Q31" s="42"/>
      <c r="S31" s="41"/>
      <c r="T31" s="31"/>
      <c r="U31" s="31"/>
      <c r="V31" s="31"/>
      <c r="W31" s="66"/>
      <c r="X31" s="66"/>
      <c r="Y31" s="66"/>
      <c r="Z31" s="66"/>
      <c r="AA31" s="29"/>
      <c r="AB31" s="29"/>
      <c r="AC31" s="29"/>
      <c r="AD31" s="29"/>
      <c r="AE31" s="29"/>
      <c r="AF31" s="29"/>
      <c r="AG31" s="29"/>
      <c r="AH31" s="29"/>
      <c r="AI31" s="29"/>
      <c r="AJ31" s="30"/>
      <c r="AK31" s="42"/>
    </row>
    <row r="32" spans="2:37" ht="15" customHeight="1" x14ac:dyDescent="0.25">
      <c r="B32" s="50" t="s">
        <v>56</v>
      </c>
      <c r="C32" s="28"/>
      <c r="D32" s="62">
        <f>IFERROR(D28/D35,"")</f>
        <v>108.39120689655172</v>
      </c>
      <c r="E32" s="62"/>
      <c r="F32" s="35"/>
      <c r="G32" s="57" t="s">
        <v>62</v>
      </c>
      <c r="H32" s="58"/>
      <c r="I32" s="58"/>
      <c r="J32" s="27"/>
      <c r="K32" s="29"/>
      <c r="L32" s="29"/>
      <c r="M32" s="29"/>
      <c r="N32" s="29"/>
      <c r="O32" s="29"/>
      <c r="P32" s="29"/>
      <c r="Q32" s="42"/>
      <c r="S32" s="41"/>
      <c r="T32" s="31" t="s">
        <v>34</v>
      </c>
      <c r="U32" s="31"/>
      <c r="V32" s="31"/>
      <c r="W32" s="69">
        <f>IF('Fechamento 7Pay'!C2=0, "", 'Fechamento 7Pay'!C2)</f>
        <v>4966.170000000001</v>
      </c>
      <c r="X32" s="69"/>
      <c r="Y32" s="69"/>
      <c r="Z32" s="69"/>
      <c r="AA32" s="29"/>
      <c r="AB32" s="29"/>
      <c r="AC32" s="29"/>
      <c r="AD32" s="29"/>
      <c r="AE32" s="29"/>
      <c r="AF32" s="29"/>
      <c r="AG32" s="29"/>
      <c r="AH32" s="29"/>
      <c r="AI32" s="29"/>
      <c r="AJ32" s="30"/>
      <c r="AK32" s="42"/>
    </row>
    <row r="33" spans="2:37" ht="15" customHeight="1" x14ac:dyDescent="0.25">
      <c r="B33" s="50"/>
      <c r="C33" s="28"/>
      <c r="D33" s="62"/>
      <c r="E33" s="62"/>
      <c r="F33" s="35"/>
      <c r="G33" s="58"/>
      <c r="H33" s="58"/>
      <c r="I33" s="58"/>
      <c r="J33" s="27"/>
      <c r="K33" s="29"/>
      <c r="L33" s="29"/>
      <c r="M33" s="29"/>
      <c r="N33" s="29"/>
      <c r="O33" s="29"/>
      <c r="P33" s="29"/>
      <c r="Q33" s="42"/>
      <c r="S33" s="41"/>
      <c r="T33" s="31"/>
      <c r="U33" s="31"/>
      <c r="V33" s="31"/>
      <c r="W33" s="66"/>
      <c r="X33" s="66"/>
      <c r="Y33" s="66"/>
      <c r="Z33" s="66"/>
      <c r="AA33" s="29"/>
      <c r="AB33" s="29"/>
      <c r="AC33" s="29"/>
      <c r="AD33" s="29"/>
      <c r="AE33" s="29"/>
      <c r="AF33" s="29"/>
      <c r="AG33" s="29"/>
      <c r="AH33" s="29"/>
      <c r="AI33" s="29"/>
      <c r="AJ33" s="30"/>
      <c r="AK33" s="42"/>
    </row>
    <row r="34" spans="2:37" ht="15" customHeight="1" x14ac:dyDescent="0.25">
      <c r="B34" s="50"/>
      <c r="C34" s="28"/>
      <c r="D34" s="62"/>
      <c r="E34" s="62"/>
      <c r="F34" s="35"/>
      <c r="G34" s="58"/>
      <c r="H34" s="58"/>
      <c r="I34" s="58"/>
      <c r="J34" s="27"/>
      <c r="K34" s="29"/>
      <c r="L34" s="29"/>
      <c r="M34" s="29"/>
      <c r="N34" s="29"/>
      <c r="O34" s="29"/>
      <c r="P34" s="29"/>
      <c r="Q34" s="42"/>
      <c r="S34" s="41"/>
      <c r="T34" s="31"/>
      <c r="U34" s="31"/>
      <c r="V34" s="31"/>
      <c r="W34" s="72"/>
      <c r="X34" s="72"/>
      <c r="Y34" s="72"/>
      <c r="Z34" s="72"/>
      <c r="AA34" s="29"/>
      <c r="AB34" s="29"/>
      <c r="AC34" s="29"/>
      <c r="AD34" s="29"/>
      <c r="AE34" s="29"/>
      <c r="AF34" s="29"/>
      <c r="AG34" s="29"/>
      <c r="AH34" s="29"/>
      <c r="AI34" s="29"/>
      <c r="AJ34" s="30"/>
      <c r="AK34" s="42"/>
    </row>
    <row r="35" spans="2:37" ht="15" customHeight="1" x14ac:dyDescent="0.25">
      <c r="B35" s="50" t="s">
        <v>57</v>
      </c>
      <c r="C35" s="28"/>
      <c r="D35" s="63">
        <v>232</v>
      </c>
      <c r="E35" s="63"/>
      <c r="F35" s="35"/>
      <c r="G35" s="60">
        <f>IFERROR(H28/D28, "")</f>
        <v>1.2327631869923191E-5</v>
      </c>
      <c r="H35" s="60"/>
      <c r="I35" s="60"/>
      <c r="J35" s="27"/>
      <c r="K35" s="29"/>
      <c r="L35" s="29"/>
      <c r="M35" s="29"/>
      <c r="N35" s="29"/>
      <c r="O35" s="29"/>
      <c r="P35" s="29"/>
      <c r="Q35" s="42"/>
      <c r="S35" s="41"/>
      <c r="T35" s="31" t="s">
        <v>33</v>
      </c>
      <c r="U35" s="31"/>
      <c r="V35" s="31"/>
      <c r="W35" s="69">
        <f>IF('Fechamento 7Pay'!C3=0, "", 'Fechamento 7Pay'!C3)</f>
        <v>3155.4500000000003</v>
      </c>
      <c r="X35" s="69"/>
      <c r="Y35" s="69"/>
      <c r="Z35" s="69"/>
      <c r="AA35" s="29"/>
      <c r="AB35" s="29"/>
      <c r="AC35" s="29"/>
      <c r="AD35" s="29"/>
      <c r="AE35" s="29"/>
      <c r="AF35" s="29"/>
      <c r="AG35" s="29"/>
      <c r="AH35" s="29"/>
      <c r="AI35" s="29"/>
      <c r="AJ35" s="30"/>
      <c r="AK35" s="42"/>
    </row>
    <row r="36" spans="2:37" ht="15" customHeight="1" x14ac:dyDescent="0.25">
      <c r="B36" s="50"/>
      <c r="C36" s="28"/>
      <c r="D36" s="64"/>
      <c r="E36" s="64"/>
      <c r="F36" s="35"/>
      <c r="G36" s="56"/>
      <c r="H36" s="56"/>
      <c r="I36" s="56"/>
      <c r="J36" s="27"/>
      <c r="K36" s="29"/>
      <c r="L36" s="29"/>
      <c r="M36" s="29"/>
      <c r="N36" s="29"/>
      <c r="O36" s="29"/>
      <c r="P36" s="29"/>
      <c r="Q36" s="42"/>
      <c r="S36" s="41"/>
      <c r="T36" s="31"/>
      <c r="U36" s="31"/>
      <c r="V36" s="31"/>
      <c r="W36" s="66"/>
      <c r="X36" s="66"/>
      <c r="Y36" s="66"/>
      <c r="Z36" s="66"/>
      <c r="AA36" s="29"/>
      <c r="AB36" s="29"/>
      <c r="AC36" s="29"/>
      <c r="AD36" s="29"/>
      <c r="AE36" s="29"/>
      <c r="AF36" s="29"/>
      <c r="AG36" s="29"/>
      <c r="AH36" s="29"/>
      <c r="AI36" s="29"/>
      <c r="AJ36" s="30"/>
      <c r="AK36" s="42"/>
    </row>
    <row r="37" spans="2:37" ht="15" customHeight="1" x14ac:dyDescent="0.25">
      <c r="B37" s="50"/>
      <c r="C37" s="28"/>
      <c r="D37" s="65"/>
      <c r="E37" s="65"/>
      <c r="F37" s="35"/>
      <c r="G37" s="61"/>
      <c r="H37" s="61"/>
      <c r="I37" s="61"/>
      <c r="J37" s="27"/>
      <c r="K37" s="29"/>
      <c r="L37" s="29"/>
      <c r="M37" s="29"/>
      <c r="N37" s="29"/>
      <c r="O37" s="29"/>
      <c r="P37" s="29"/>
      <c r="Q37" s="42"/>
      <c r="S37" s="41"/>
      <c r="T37" s="31"/>
      <c r="U37" s="31"/>
      <c r="V37" s="31"/>
      <c r="W37" s="72"/>
      <c r="X37" s="72"/>
      <c r="Y37" s="72"/>
      <c r="Z37" s="72"/>
      <c r="AA37" s="29"/>
      <c r="AB37" s="29"/>
      <c r="AC37" s="29"/>
      <c r="AD37" s="29"/>
      <c r="AE37" s="29"/>
      <c r="AF37" s="29"/>
      <c r="AG37" s="29"/>
      <c r="AH37" s="29"/>
      <c r="AI37" s="29"/>
      <c r="AJ37" s="30"/>
      <c r="AK37" s="42"/>
    </row>
    <row r="38" spans="2:37" ht="15" customHeight="1" x14ac:dyDescent="0.25">
      <c r="B38" s="50" t="s">
        <v>58</v>
      </c>
      <c r="C38" s="28"/>
      <c r="D38" s="62">
        <v>2020</v>
      </c>
      <c r="E38" s="62"/>
      <c r="F38" s="35"/>
      <c r="G38" s="59">
        <f>Configuração!B2</f>
        <v>46170.75</v>
      </c>
      <c r="H38" s="59"/>
      <c r="I38" s="59"/>
      <c r="J38" s="27"/>
      <c r="K38" s="29"/>
      <c r="L38" s="29"/>
      <c r="M38" s="29"/>
      <c r="N38" s="29"/>
      <c r="O38" s="29"/>
      <c r="P38" s="29"/>
      <c r="Q38" s="42"/>
      <c r="S38" s="41"/>
      <c r="T38" s="31" t="s">
        <v>51</v>
      </c>
      <c r="U38" s="31"/>
      <c r="V38" s="31"/>
      <c r="W38" s="53">
        <f>IF('Fechamento 7Pay'!C5=0, "", 'Fechamento 7Pay'!C5)</f>
        <v>9334.61</v>
      </c>
      <c r="X38" s="53"/>
      <c r="Y38" s="53"/>
      <c r="Z38" s="53"/>
      <c r="AA38" s="29"/>
      <c r="AB38" s="29"/>
      <c r="AC38" s="29"/>
      <c r="AD38" s="29"/>
      <c r="AE38" s="29"/>
      <c r="AF38" s="29"/>
      <c r="AG38" s="29"/>
      <c r="AH38" s="29"/>
      <c r="AI38" s="29"/>
      <c r="AJ38" s="30"/>
      <c r="AK38" s="42"/>
    </row>
    <row r="39" spans="2:37" ht="15" customHeight="1" x14ac:dyDescent="0.25">
      <c r="B39" s="50"/>
      <c r="C39" s="28"/>
      <c r="D39" s="62"/>
      <c r="E39" s="62"/>
      <c r="F39" s="35"/>
      <c r="G39" s="59"/>
      <c r="H39" s="59"/>
      <c r="I39" s="59"/>
      <c r="J39" s="27"/>
      <c r="K39" s="29"/>
      <c r="L39" s="29"/>
      <c r="M39" s="29"/>
      <c r="N39" s="29"/>
      <c r="O39" s="29"/>
      <c r="P39" s="29"/>
      <c r="Q39" s="42"/>
      <c r="S39" s="41"/>
      <c r="T39" s="31"/>
      <c r="U39" s="31"/>
      <c r="V39" s="31"/>
      <c r="W39" s="53"/>
      <c r="X39" s="53"/>
      <c r="Y39" s="53"/>
      <c r="Z39" s="53"/>
      <c r="AA39" s="29"/>
      <c r="AB39" s="29"/>
      <c r="AC39" s="29"/>
      <c r="AD39" s="29"/>
      <c r="AE39" s="29"/>
      <c r="AF39" s="29"/>
      <c r="AG39" s="29"/>
      <c r="AH39" s="29"/>
      <c r="AI39" s="29"/>
      <c r="AJ39" s="30"/>
      <c r="AK39" s="42"/>
    </row>
    <row r="40" spans="2:37" ht="15" customHeight="1" x14ac:dyDescent="0.25">
      <c r="B40" s="50"/>
      <c r="C40" s="28"/>
      <c r="D40" s="62"/>
      <c r="E40" s="62"/>
      <c r="F40" s="35"/>
      <c r="G40" s="59"/>
      <c r="H40" s="59"/>
      <c r="I40" s="59"/>
      <c r="J40" s="27"/>
      <c r="K40" s="29"/>
      <c r="L40" s="29"/>
      <c r="M40" s="29"/>
      <c r="N40" s="29"/>
      <c r="O40" s="29"/>
      <c r="P40" s="29"/>
      <c r="Q40" s="42"/>
      <c r="S40" s="41"/>
      <c r="T40" s="31"/>
      <c r="U40" s="31"/>
      <c r="V40" s="31"/>
      <c r="W40" s="53"/>
      <c r="X40" s="53"/>
      <c r="Y40" s="53"/>
      <c r="Z40" s="53"/>
      <c r="AA40" s="29"/>
      <c r="AB40" s="29"/>
      <c r="AC40" s="29"/>
      <c r="AD40" s="29"/>
      <c r="AE40" s="29"/>
      <c r="AF40" s="29"/>
      <c r="AG40" s="29"/>
      <c r="AH40" s="29"/>
      <c r="AI40" s="29"/>
      <c r="AJ40" s="30"/>
      <c r="AK40" s="42"/>
    </row>
    <row r="41" spans="2:37" x14ac:dyDescent="0.25">
      <c r="B41" s="49"/>
      <c r="C41" s="27"/>
      <c r="D41" s="27"/>
      <c r="E41" s="27"/>
      <c r="F41" s="27"/>
      <c r="G41" s="27"/>
      <c r="H41" s="27"/>
      <c r="I41" s="27"/>
      <c r="J41" s="27"/>
      <c r="K41" s="29"/>
      <c r="L41" s="29"/>
      <c r="M41" s="29"/>
      <c r="N41" s="29"/>
      <c r="O41" s="29"/>
      <c r="P41" s="29"/>
      <c r="Q41" s="42"/>
      <c r="S41" s="41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30"/>
      <c r="AK41" s="42"/>
    </row>
    <row r="42" spans="2:37" x14ac:dyDescent="0.25"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6"/>
      <c r="S42" s="43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5"/>
      <c r="AK42" s="46"/>
    </row>
  </sheetData>
  <mergeCells count="58">
    <mergeCell ref="W29:Z31"/>
    <mergeCell ref="W32:Z34"/>
    <mergeCell ref="W35:Z37"/>
    <mergeCell ref="W38:Z40"/>
    <mergeCell ref="T13:V15"/>
    <mergeCell ref="T16:V18"/>
    <mergeCell ref="T19:V21"/>
    <mergeCell ref="T22:V24"/>
    <mergeCell ref="W13:Z15"/>
    <mergeCell ref="W16:Z18"/>
    <mergeCell ref="W19:Z21"/>
    <mergeCell ref="W22:Z24"/>
    <mergeCell ref="T29:V31"/>
    <mergeCell ref="T32:V34"/>
    <mergeCell ref="T35:V37"/>
    <mergeCell ref="T38:V40"/>
    <mergeCell ref="T26:Z28"/>
    <mergeCell ref="T10:Z12"/>
    <mergeCell ref="B2:AK7"/>
    <mergeCell ref="H19:I21"/>
    <mergeCell ref="F25:G27"/>
    <mergeCell ref="F22:G24"/>
    <mergeCell ref="F19:G21"/>
    <mergeCell ref="B13:C15"/>
    <mergeCell ref="B16:C18"/>
    <mergeCell ref="B19:C21"/>
    <mergeCell ref="D19:E21"/>
    <mergeCell ref="D28:E30"/>
    <mergeCell ref="F28:G30"/>
    <mergeCell ref="H28:I30"/>
    <mergeCell ref="B25:C27"/>
    <mergeCell ref="D10:E12"/>
    <mergeCell ref="F10:G12"/>
    <mergeCell ref="H10:I12"/>
    <mergeCell ref="D13:E15"/>
    <mergeCell ref="F13:G15"/>
    <mergeCell ref="H13:I15"/>
    <mergeCell ref="D16:E18"/>
    <mergeCell ref="F16:G18"/>
    <mergeCell ref="H16:I18"/>
    <mergeCell ref="B22:C24"/>
    <mergeCell ref="D22:E24"/>
    <mergeCell ref="D25:E27"/>
    <mergeCell ref="G38:I40"/>
    <mergeCell ref="B28:C30"/>
    <mergeCell ref="B32:C34"/>
    <mergeCell ref="F38:F40"/>
    <mergeCell ref="G32:I34"/>
    <mergeCell ref="B38:C40"/>
    <mergeCell ref="D32:E34"/>
    <mergeCell ref="F32:F34"/>
    <mergeCell ref="D35:E37"/>
    <mergeCell ref="F35:F37"/>
    <mergeCell ref="D38:E40"/>
    <mergeCell ref="B35:C37"/>
    <mergeCell ref="G35:I37"/>
    <mergeCell ref="H22:I24"/>
    <mergeCell ref="H25:I2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workbookViewId="0">
      <selection activeCell="Q16" sqref="Q16"/>
    </sheetView>
  </sheetViews>
  <sheetFormatPr defaultRowHeight="15" x14ac:dyDescent="0.25"/>
  <cols>
    <col min="1" max="1" width="18" bestFit="1" customWidth="1"/>
    <col min="2" max="2" width="10" customWidth="1"/>
    <col min="3" max="3" width="16" customWidth="1"/>
    <col min="4" max="4" width="14.140625" customWidth="1"/>
  </cols>
  <sheetData>
    <row r="1" spans="1:4" x14ac:dyDescent="0.25">
      <c r="A1" s="21" t="s">
        <v>39</v>
      </c>
      <c r="B1" s="22"/>
      <c r="C1" s="22"/>
      <c r="D1" s="22"/>
    </row>
    <row r="2" spans="1:4" x14ac:dyDescent="0.25">
      <c r="A2" s="5" t="s">
        <v>42</v>
      </c>
      <c r="B2" s="7"/>
      <c r="C2" s="19">
        <f>SUMIF(Tabela_7Pay_2[TIPO VENDA], "Crédito", Tabela_7Pay_2[VALOR BRUTO])</f>
        <v>4966.170000000001</v>
      </c>
      <c r="D2" s="19"/>
    </row>
    <row r="3" spans="1:4" x14ac:dyDescent="0.25">
      <c r="A3" s="5" t="s">
        <v>43</v>
      </c>
      <c r="B3" s="6"/>
      <c r="C3" s="20">
        <f>SUMIF(Tabela_7Pay_2[TIPO VENDA], "Débito", Tabela_7Pay_2[VALOR BRUTO])</f>
        <v>3155.4500000000003</v>
      </c>
      <c r="D3" s="20"/>
    </row>
    <row r="4" spans="1:4" x14ac:dyDescent="0.25">
      <c r="A4" s="5" t="s">
        <v>44</v>
      </c>
      <c r="B4" s="7"/>
      <c r="C4" s="19">
        <f>SUMIF(Tabela_7Pay_2[TIPO VENDA], "Pix", Tabela_7Pay_2[VALOR BRUTO])</f>
        <v>1212.99</v>
      </c>
      <c r="D4" s="19"/>
    </row>
    <row r="5" spans="1:4" x14ac:dyDescent="0.25">
      <c r="A5" s="5" t="s">
        <v>40</v>
      </c>
      <c r="B5" s="6"/>
      <c r="C5" s="20">
        <f>SUM(C2:D4)</f>
        <v>9334.61</v>
      </c>
      <c r="D5" s="20"/>
    </row>
    <row r="6" spans="1:4" x14ac:dyDescent="0.25">
      <c r="A6" t="s">
        <v>4</v>
      </c>
      <c r="B6" t="s">
        <v>11</v>
      </c>
      <c r="C6" t="s">
        <v>8</v>
      </c>
      <c r="D6" t="s">
        <v>7</v>
      </c>
    </row>
    <row r="7" spans="1:4" x14ac:dyDescent="0.25">
      <c r="A7" s="4">
        <v>46170.910740740743</v>
      </c>
      <c r="B7" t="s">
        <v>24</v>
      </c>
      <c r="C7">
        <v>183.35</v>
      </c>
      <c r="D7" t="s">
        <v>34</v>
      </c>
    </row>
    <row r="8" spans="1:4" x14ac:dyDescent="0.25">
      <c r="A8" s="4">
        <v>46170.91609953704</v>
      </c>
      <c r="B8" t="s">
        <v>24</v>
      </c>
      <c r="C8">
        <v>72.25</v>
      </c>
      <c r="D8" t="s">
        <v>33</v>
      </c>
    </row>
    <row r="9" spans="1:4" x14ac:dyDescent="0.25">
      <c r="A9" s="4">
        <v>46170.926446759258</v>
      </c>
      <c r="B9" t="s">
        <v>24</v>
      </c>
      <c r="C9">
        <v>82.7</v>
      </c>
      <c r="D9" t="s">
        <v>33</v>
      </c>
    </row>
    <row r="10" spans="1:4" x14ac:dyDescent="0.25">
      <c r="A10" s="4">
        <v>46170.926990740743</v>
      </c>
      <c r="B10" t="s">
        <v>24</v>
      </c>
      <c r="C10">
        <v>121.1</v>
      </c>
      <c r="D10" t="s">
        <v>34</v>
      </c>
    </row>
    <row r="11" spans="1:4" x14ac:dyDescent="0.25">
      <c r="A11" s="4">
        <v>46170.938113425924</v>
      </c>
      <c r="B11" t="s">
        <v>24</v>
      </c>
      <c r="C11">
        <v>110.1</v>
      </c>
      <c r="D11" t="s">
        <v>34</v>
      </c>
    </row>
    <row r="12" spans="1:4" x14ac:dyDescent="0.25">
      <c r="A12" s="4">
        <v>46170.93855324074</v>
      </c>
      <c r="B12" t="s">
        <v>24</v>
      </c>
      <c r="C12">
        <v>30.45</v>
      </c>
      <c r="D12" t="s">
        <v>33</v>
      </c>
    </row>
    <row r="13" spans="1:4" x14ac:dyDescent="0.25">
      <c r="A13" s="4">
        <v>46170.939201388886</v>
      </c>
      <c r="B13" t="s">
        <v>24</v>
      </c>
      <c r="C13">
        <v>40</v>
      </c>
      <c r="D13" t="s">
        <v>33</v>
      </c>
    </row>
    <row r="14" spans="1:4" x14ac:dyDescent="0.25">
      <c r="A14" s="4">
        <v>46170.940034722225</v>
      </c>
      <c r="B14" t="s">
        <v>24</v>
      </c>
      <c r="C14">
        <v>40.9</v>
      </c>
      <c r="D14" t="s">
        <v>33</v>
      </c>
    </row>
    <row r="15" spans="1:4" x14ac:dyDescent="0.25">
      <c r="A15" s="4">
        <v>46170.940567129626</v>
      </c>
      <c r="B15" t="s">
        <v>24</v>
      </c>
      <c r="C15">
        <v>1189.6400000000001</v>
      </c>
      <c r="D15" t="s">
        <v>34</v>
      </c>
    </row>
    <row r="16" spans="1:4" x14ac:dyDescent="0.25">
      <c r="A16" s="4">
        <v>46170.948009259257</v>
      </c>
      <c r="B16" t="s">
        <v>24</v>
      </c>
      <c r="C16">
        <v>40.9</v>
      </c>
      <c r="D16" t="s">
        <v>33</v>
      </c>
    </row>
    <row r="17" spans="1:4" x14ac:dyDescent="0.25">
      <c r="A17" s="4">
        <v>46170.953761574077</v>
      </c>
      <c r="B17" t="s">
        <v>24</v>
      </c>
      <c r="C17">
        <v>159.37</v>
      </c>
      <c r="D17" t="s">
        <v>38</v>
      </c>
    </row>
    <row r="18" spans="1:4" x14ac:dyDescent="0.25">
      <c r="A18" s="4">
        <v>46170.955231481479</v>
      </c>
      <c r="B18" t="s">
        <v>24</v>
      </c>
      <c r="C18">
        <v>46.4</v>
      </c>
      <c r="D18" t="s">
        <v>38</v>
      </c>
    </row>
    <row r="19" spans="1:4" x14ac:dyDescent="0.25">
      <c r="A19" s="4">
        <v>46170.960462962961</v>
      </c>
      <c r="B19" t="s">
        <v>24</v>
      </c>
      <c r="C19">
        <v>120.65</v>
      </c>
      <c r="D19" t="s">
        <v>33</v>
      </c>
    </row>
    <row r="20" spans="1:4" x14ac:dyDescent="0.25">
      <c r="A20" s="4">
        <v>46170.96056712963</v>
      </c>
      <c r="B20" t="s">
        <v>24</v>
      </c>
      <c r="C20">
        <v>30.45</v>
      </c>
      <c r="D20" t="s">
        <v>38</v>
      </c>
    </row>
    <row r="21" spans="1:4" x14ac:dyDescent="0.25">
      <c r="A21" s="4">
        <v>46170.965011574073</v>
      </c>
      <c r="B21" t="s">
        <v>24</v>
      </c>
      <c r="C21">
        <v>246.8</v>
      </c>
      <c r="D21" t="s">
        <v>34</v>
      </c>
    </row>
    <row r="22" spans="1:4" x14ac:dyDescent="0.25">
      <c r="A22" s="4">
        <v>46170.97184027778</v>
      </c>
      <c r="B22" t="s">
        <v>24</v>
      </c>
      <c r="C22">
        <v>82.37</v>
      </c>
      <c r="D22" t="s">
        <v>33</v>
      </c>
    </row>
    <row r="23" spans="1:4" x14ac:dyDescent="0.25">
      <c r="A23" s="4">
        <v>46170.973217592589</v>
      </c>
      <c r="B23" t="s">
        <v>24</v>
      </c>
      <c r="C23">
        <v>191.45</v>
      </c>
      <c r="D23" t="s">
        <v>38</v>
      </c>
    </row>
    <row r="24" spans="1:4" x14ac:dyDescent="0.25">
      <c r="A24" s="4">
        <v>46170.973865740743</v>
      </c>
      <c r="B24" t="s">
        <v>24</v>
      </c>
      <c r="C24">
        <v>69.83</v>
      </c>
      <c r="D24" t="s">
        <v>33</v>
      </c>
    </row>
    <row r="25" spans="1:4" x14ac:dyDescent="0.25">
      <c r="A25" s="4">
        <v>46170.975312499999</v>
      </c>
      <c r="B25" t="s">
        <v>24</v>
      </c>
      <c r="C25">
        <v>159.02000000000001</v>
      </c>
      <c r="D25" t="s">
        <v>34</v>
      </c>
    </row>
    <row r="26" spans="1:4" x14ac:dyDescent="0.25">
      <c r="A26" s="4">
        <v>46170.976481481484</v>
      </c>
      <c r="B26" t="s">
        <v>24</v>
      </c>
      <c r="C26">
        <v>84.55</v>
      </c>
      <c r="D26" t="s">
        <v>33</v>
      </c>
    </row>
    <row r="27" spans="1:4" x14ac:dyDescent="0.25">
      <c r="A27" s="4">
        <v>46170.979201388887</v>
      </c>
      <c r="B27" t="s">
        <v>24</v>
      </c>
      <c r="C27">
        <v>46.4</v>
      </c>
      <c r="D27" t="s">
        <v>33</v>
      </c>
    </row>
    <row r="28" spans="1:4" x14ac:dyDescent="0.25">
      <c r="A28" s="4">
        <v>46170.979768518519</v>
      </c>
      <c r="B28" t="s">
        <v>24</v>
      </c>
      <c r="C28">
        <v>67.88</v>
      </c>
      <c r="D28" t="s">
        <v>33</v>
      </c>
    </row>
    <row r="29" spans="1:4" x14ac:dyDescent="0.25">
      <c r="A29" s="4">
        <v>46170.980208333334</v>
      </c>
      <c r="B29" t="s">
        <v>24</v>
      </c>
      <c r="C29">
        <v>36.07</v>
      </c>
      <c r="D29" t="s">
        <v>34</v>
      </c>
    </row>
    <row r="30" spans="1:4" x14ac:dyDescent="0.25">
      <c r="A30" s="4">
        <v>46170.981122685182</v>
      </c>
      <c r="B30" t="s">
        <v>24</v>
      </c>
      <c r="C30">
        <v>109.87</v>
      </c>
      <c r="D30" t="s">
        <v>38</v>
      </c>
    </row>
    <row r="31" spans="1:4" x14ac:dyDescent="0.25">
      <c r="A31" s="4">
        <v>46170.981666666667</v>
      </c>
      <c r="B31" t="s">
        <v>24</v>
      </c>
      <c r="C31">
        <v>109.87</v>
      </c>
      <c r="D31" t="s">
        <v>33</v>
      </c>
    </row>
    <row r="32" spans="1:4" x14ac:dyDescent="0.25">
      <c r="A32" s="4">
        <v>46170.983148148145</v>
      </c>
      <c r="B32" t="s">
        <v>24</v>
      </c>
      <c r="C32">
        <v>162</v>
      </c>
      <c r="D32" t="s">
        <v>34</v>
      </c>
    </row>
    <row r="33" spans="1:4" x14ac:dyDescent="0.25">
      <c r="A33" s="4">
        <v>46170.983541666668</v>
      </c>
      <c r="B33" t="s">
        <v>24</v>
      </c>
      <c r="C33">
        <v>82.3</v>
      </c>
      <c r="D33" t="s">
        <v>33</v>
      </c>
    </row>
    <row r="34" spans="1:4" x14ac:dyDescent="0.25">
      <c r="A34" s="4">
        <v>46170.983969907407</v>
      </c>
      <c r="B34" t="s">
        <v>24</v>
      </c>
      <c r="C34">
        <v>27.5</v>
      </c>
      <c r="D34" t="s">
        <v>33</v>
      </c>
    </row>
    <row r="35" spans="1:4" x14ac:dyDescent="0.25">
      <c r="A35" s="4">
        <v>46170.984398148146</v>
      </c>
      <c r="B35" t="s">
        <v>24</v>
      </c>
      <c r="C35">
        <v>43</v>
      </c>
      <c r="D35" t="s">
        <v>34</v>
      </c>
    </row>
    <row r="36" spans="1:4" x14ac:dyDescent="0.25">
      <c r="A36" s="4">
        <v>46170.986307870371</v>
      </c>
      <c r="B36" t="s">
        <v>24</v>
      </c>
      <c r="C36">
        <v>48.27</v>
      </c>
      <c r="D36" t="s">
        <v>34</v>
      </c>
    </row>
    <row r="37" spans="1:4" x14ac:dyDescent="0.25">
      <c r="A37" s="4">
        <v>46170.986840277779</v>
      </c>
      <c r="B37" t="s">
        <v>24</v>
      </c>
      <c r="C37">
        <v>51.35</v>
      </c>
      <c r="D37" t="s">
        <v>33</v>
      </c>
    </row>
    <row r="38" spans="1:4" x14ac:dyDescent="0.25">
      <c r="A38" s="4">
        <v>46170.987326388888</v>
      </c>
      <c r="B38" t="s">
        <v>24</v>
      </c>
      <c r="C38">
        <v>48.27</v>
      </c>
      <c r="D38" t="s">
        <v>34</v>
      </c>
    </row>
    <row r="39" spans="1:4" x14ac:dyDescent="0.25">
      <c r="A39" s="4">
        <v>46170.988761574074</v>
      </c>
      <c r="B39" t="s">
        <v>24</v>
      </c>
      <c r="C39">
        <v>37.6</v>
      </c>
      <c r="D39" t="s">
        <v>34</v>
      </c>
    </row>
    <row r="40" spans="1:4" x14ac:dyDescent="0.25">
      <c r="A40" s="4">
        <v>46170.989212962966</v>
      </c>
      <c r="B40" t="s">
        <v>24</v>
      </c>
      <c r="C40">
        <v>74.45</v>
      </c>
      <c r="D40" t="s">
        <v>33</v>
      </c>
    </row>
    <row r="41" spans="1:4" x14ac:dyDescent="0.25">
      <c r="A41" s="4">
        <v>46170.990902777776</v>
      </c>
      <c r="B41" t="s">
        <v>24</v>
      </c>
      <c r="C41">
        <v>20</v>
      </c>
      <c r="D41" t="s">
        <v>33</v>
      </c>
    </row>
    <row r="42" spans="1:4" x14ac:dyDescent="0.25">
      <c r="A42" s="4">
        <v>46170.99322916667</v>
      </c>
      <c r="B42" t="s">
        <v>24</v>
      </c>
      <c r="C42">
        <v>163.41999999999999</v>
      </c>
      <c r="D42" t="s">
        <v>33</v>
      </c>
    </row>
    <row r="43" spans="1:4" x14ac:dyDescent="0.25">
      <c r="A43" s="4">
        <v>46170.993888888886</v>
      </c>
      <c r="B43" t="s">
        <v>24</v>
      </c>
      <c r="C43">
        <v>61.35</v>
      </c>
      <c r="D43" t="s">
        <v>34</v>
      </c>
    </row>
    <row r="44" spans="1:4" x14ac:dyDescent="0.25">
      <c r="A44" s="4">
        <v>46170.994259259256</v>
      </c>
      <c r="B44" t="s">
        <v>24</v>
      </c>
      <c r="C44">
        <v>61.35</v>
      </c>
      <c r="D44" t="s">
        <v>34</v>
      </c>
    </row>
    <row r="45" spans="1:4" x14ac:dyDescent="0.25">
      <c r="A45" s="4">
        <v>46170.995057870372</v>
      </c>
      <c r="B45" t="s">
        <v>24</v>
      </c>
      <c r="C45">
        <v>94.45</v>
      </c>
      <c r="D45" t="s">
        <v>33</v>
      </c>
    </row>
    <row r="46" spans="1:4" x14ac:dyDescent="0.25">
      <c r="A46" s="4">
        <v>46170.996504629627</v>
      </c>
      <c r="B46" t="s">
        <v>24</v>
      </c>
      <c r="C46">
        <v>50.7</v>
      </c>
      <c r="D46" t="s">
        <v>34</v>
      </c>
    </row>
    <row r="47" spans="1:4" x14ac:dyDescent="0.25">
      <c r="A47" s="4">
        <v>46170.997997685183</v>
      </c>
      <c r="B47" t="s">
        <v>24</v>
      </c>
      <c r="C47">
        <v>51.92</v>
      </c>
      <c r="D47" t="s">
        <v>34</v>
      </c>
    </row>
    <row r="48" spans="1:4" x14ac:dyDescent="0.25">
      <c r="A48" s="4">
        <v>46170.998900462961</v>
      </c>
      <c r="B48" t="s">
        <v>24</v>
      </c>
      <c r="C48">
        <v>40.9</v>
      </c>
      <c r="D48" t="s">
        <v>33</v>
      </c>
    </row>
    <row r="49" spans="1:4" x14ac:dyDescent="0.25">
      <c r="A49" s="4">
        <v>46170.999305555553</v>
      </c>
      <c r="B49" t="s">
        <v>24</v>
      </c>
      <c r="C49">
        <v>124.5</v>
      </c>
      <c r="D49" t="s">
        <v>34</v>
      </c>
    </row>
    <row r="50" spans="1:4" x14ac:dyDescent="0.25">
      <c r="A50" s="4">
        <v>46171.004293981481</v>
      </c>
      <c r="B50" t="s">
        <v>24</v>
      </c>
      <c r="C50">
        <v>56.86</v>
      </c>
      <c r="D50" t="s">
        <v>34</v>
      </c>
    </row>
    <row r="51" spans="1:4" x14ac:dyDescent="0.25">
      <c r="A51" s="4">
        <v>46171.005960648145</v>
      </c>
      <c r="B51" t="s">
        <v>24</v>
      </c>
      <c r="C51">
        <v>29.5</v>
      </c>
      <c r="D51" t="s">
        <v>34</v>
      </c>
    </row>
    <row r="52" spans="1:4" x14ac:dyDescent="0.25">
      <c r="A52" s="4">
        <v>46171.007175925923</v>
      </c>
      <c r="B52" t="s">
        <v>24</v>
      </c>
      <c r="C52">
        <v>229.45</v>
      </c>
      <c r="D52" t="s">
        <v>33</v>
      </c>
    </row>
    <row r="53" spans="1:4" x14ac:dyDescent="0.25">
      <c r="A53" s="4">
        <v>46171.008703703701</v>
      </c>
      <c r="B53" t="s">
        <v>24</v>
      </c>
      <c r="C53">
        <v>225</v>
      </c>
      <c r="D53" t="s">
        <v>34</v>
      </c>
    </row>
    <row r="54" spans="1:4" x14ac:dyDescent="0.25">
      <c r="A54" s="4">
        <v>46171.012870370374</v>
      </c>
      <c r="B54" t="s">
        <v>24</v>
      </c>
      <c r="C54">
        <v>92.82</v>
      </c>
      <c r="D54" t="s">
        <v>33</v>
      </c>
    </row>
    <row r="55" spans="1:4" x14ac:dyDescent="0.25">
      <c r="A55" s="4">
        <v>46171.013831018521</v>
      </c>
      <c r="B55" t="s">
        <v>24</v>
      </c>
      <c r="C55">
        <v>239</v>
      </c>
      <c r="D55" t="s">
        <v>34</v>
      </c>
    </row>
    <row r="56" spans="1:4" x14ac:dyDescent="0.25">
      <c r="A56" s="4">
        <v>46171.014965277776</v>
      </c>
      <c r="B56" t="s">
        <v>24</v>
      </c>
      <c r="C56">
        <v>72.510000000000005</v>
      </c>
      <c r="D56" t="s">
        <v>33</v>
      </c>
    </row>
    <row r="57" spans="1:4" x14ac:dyDescent="0.25">
      <c r="A57" s="4">
        <v>46171.015555555554</v>
      </c>
      <c r="B57" t="s">
        <v>24</v>
      </c>
      <c r="C57">
        <v>20</v>
      </c>
      <c r="D57" t="s">
        <v>33</v>
      </c>
    </row>
    <row r="58" spans="1:4" x14ac:dyDescent="0.25">
      <c r="A58" s="4">
        <v>46171.026504629626</v>
      </c>
      <c r="B58" t="s">
        <v>24</v>
      </c>
      <c r="C58">
        <v>47.9</v>
      </c>
      <c r="D58" t="s">
        <v>34</v>
      </c>
    </row>
    <row r="59" spans="1:4" x14ac:dyDescent="0.25">
      <c r="A59" s="4">
        <v>46171.03224537037</v>
      </c>
      <c r="B59" t="s">
        <v>24</v>
      </c>
      <c r="C59">
        <v>307.14</v>
      </c>
      <c r="D59" t="s">
        <v>38</v>
      </c>
    </row>
    <row r="60" spans="1:4" x14ac:dyDescent="0.25">
      <c r="A60" s="4">
        <v>46171.033032407409</v>
      </c>
      <c r="B60" t="s">
        <v>24</v>
      </c>
      <c r="C60">
        <v>28</v>
      </c>
      <c r="D60" t="s">
        <v>33</v>
      </c>
    </row>
    <row r="61" spans="1:4" x14ac:dyDescent="0.25">
      <c r="A61" s="4">
        <v>46171.033449074072</v>
      </c>
      <c r="B61" t="s">
        <v>24</v>
      </c>
      <c r="C61">
        <v>83.25</v>
      </c>
      <c r="D61" t="s">
        <v>33</v>
      </c>
    </row>
    <row r="62" spans="1:4" x14ac:dyDescent="0.25">
      <c r="A62" s="4">
        <v>46171.034039351849</v>
      </c>
      <c r="B62" t="s">
        <v>24</v>
      </c>
      <c r="C62">
        <v>140.12</v>
      </c>
      <c r="D62" t="s">
        <v>33</v>
      </c>
    </row>
    <row r="63" spans="1:4" x14ac:dyDescent="0.25">
      <c r="A63" s="4">
        <v>46171.034490740742</v>
      </c>
      <c r="B63" t="s">
        <v>24</v>
      </c>
      <c r="C63">
        <v>20</v>
      </c>
      <c r="D63" t="s">
        <v>33</v>
      </c>
    </row>
    <row r="64" spans="1:4" x14ac:dyDescent="0.25">
      <c r="A64" s="4">
        <v>46171.034803240742</v>
      </c>
      <c r="B64" t="s">
        <v>24</v>
      </c>
      <c r="C64">
        <v>20</v>
      </c>
      <c r="D64" t="s">
        <v>33</v>
      </c>
    </row>
    <row r="65" spans="1:4" x14ac:dyDescent="0.25">
      <c r="A65" s="4">
        <v>46171.037060185183</v>
      </c>
      <c r="B65" t="s">
        <v>24</v>
      </c>
      <c r="C65">
        <v>93.15</v>
      </c>
      <c r="D65" t="s">
        <v>34</v>
      </c>
    </row>
    <row r="66" spans="1:4" x14ac:dyDescent="0.25">
      <c r="A66" s="4">
        <v>46171.037708333337</v>
      </c>
      <c r="B66" t="s">
        <v>24</v>
      </c>
      <c r="C66">
        <v>293.11</v>
      </c>
      <c r="D66" t="s">
        <v>34</v>
      </c>
    </row>
    <row r="67" spans="1:4" x14ac:dyDescent="0.25">
      <c r="A67" s="4">
        <v>46171.039664351854</v>
      </c>
      <c r="B67" t="s">
        <v>24</v>
      </c>
      <c r="C67">
        <v>164.65</v>
      </c>
      <c r="D67" t="s">
        <v>33</v>
      </c>
    </row>
    <row r="68" spans="1:4" x14ac:dyDescent="0.25">
      <c r="A68" s="4">
        <v>46171.040451388886</v>
      </c>
      <c r="B68" t="s">
        <v>24</v>
      </c>
      <c r="C68">
        <v>127.25</v>
      </c>
      <c r="D68" t="s">
        <v>38</v>
      </c>
    </row>
    <row r="69" spans="1:4" x14ac:dyDescent="0.25">
      <c r="A69" s="4">
        <v>46171.041250000002</v>
      </c>
      <c r="B69" t="s">
        <v>24</v>
      </c>
      <c r="C69">
        <v>80</v>
      </c>
      <c r="D69" t="s">
        <v>34</v>
      </c>
    </row>
    <row r="70" spans="1:4" x14ac:dyDescent="0.25">
      <c r="A70" s="4">
        <v>46171.044444444444</v>
      </c>
      <c r="B70" t="s">
        <v>24</v>
      </c>
      <c r="C70">
        <v>248.01</v>
      </c>
      <c r="D70" t="s">
        <v>33</v>
      </c>
    </row>
    <row r="71" spans="1:4" x14ac:dyDescent="0.25">
      <c r="A71" s="4">
        <v>46171.04991898148</v>
      </c>
      <c r="B71" t="s">
        <v>24</v>
      </c>
      <c r="C71">
        <v>73</v>
      </c>
      <c r="D71" t="s">
        <v>34</v>
      </c>
    </row>
    <row r="72" spans="1:4" x14ac:dyDescent="0.25">
      <c r="A72" s="4">
        <v>46171.054131944446</v>
      </c>
      <c r="B72" t="s">
        <v>24</v>
      </c>
      <c r="C72">
        <v>103.27</v>
      </c>
      <c r="D72" t="s">
        <v>34</v>
      </c>
    </row>
    <row r="73" spans="1:4" x14ac:dyDescent="0.25">
      <c r="A73" s="4">
        <v>46171.054490740738</v>
      </c>
      <c r="B73" t="s">
        <v>24</v>
      </c>
      <c r="C73">
        <v>103.27</v>
      </c>
      <c r="D73" t="s">
        <v>34</v>
      </c>
    </row>
    <row r="74" spans="1:4" x14ac:dyDescent="0.25">
      <c r="A74" s="4">
        <v>46171.058368055557</v>
      </c>
      <c r="B74" t="s">
        <v>24</v>
      </c>
      <c r="C74">
        <v>245.2</v>
      </c>
      <c r="D74" t="s">
        <v>33</v>
      </c>
    </row>
    <row r="75" spans="1:4" x14ac:dyDescent="0.25">
      <c r="A75" s="4">
        <v>46171.059687499997</v>
      </c>
      <c r="B75" t="s">
        <v>24</v>
      </c>
      <c r="C75">
        <v>103.25</v>
      </c>
      <c r="D75" t="s">
        <v>34</v>
      </c>
    </row>
    <row r="76" spans="1:4" x14ac:dyDescent="0.25">
      <c r="A76" s="4">
        <v>46171.061990740738</v>
      </c>
      <c r="B76" t="s">
        <v>24</v>
      </c>
      <c r="C76">
        <v>13</v>
      </c>
      <c r="D76" t="s">
        <v>33</v>
      </c>
    </row>
    <row r="77" spans="1:4" x14ac:dyDescent="0.25">
      <c r="A77" s="4">
        <v>46171.067199074074</v>
      </c>
      <c r="B77" t="s">
        <v>24</v>
      </c>
      <c r="C77">
        <v>74.5</v>
      </c>
      <c r="D77" t="s">
        <v>34</v>
      </c>
    </row>
    <row r="78" spans="1:4" x14ac:dyDescent="0.25">
      <c r="A78" s="4">
        <v>46171.068518518521</v>
      </c>
      <c r="B78" t="s">
        <v>24</v>
      </c>
      <c r="C78">
        <v>97.1</v>
      </c>
      <c r="D78" t="s">
        <v>34</v>
      </c>
    </row>
    <row r="79" spans="1:4" x14ac:dyDescent="0.25">
      <c r="A79" s="4">
        <v>46171.072881944441</v>
      </c>
      <c r="B79" t="s">
        <v>24</v>
      </c>
      <c r="C79">
        <v>114.05</v>
      </c>
      <c r="D79" t="s">
        <v>38</v>
      </c>
    </row>
    <row r="80" spans="1:4" x14ac:dyDescent="0.25">
      <c r="A80" s="4">
        <v>46171.073680555557</v>
      </c>
      <c r="B80" t="s">
        <v>24</v>
      </c>
      <c r="C80">
        <v>20</v>
      </c>
      <c r="D80" t="s">
        <v>34</v>
      </c>
    </row>
    <row r="81" spans="1:4" x14ac:dyDescent="0.25">
      <c r="A81" s="4">
        <v>46171.074293981481</v>
      </c>
      <c r="B81" t="s">
        <v>24</v>
      </c>
      <c r="C81">
        <v>117.35</v>
      </c>
      <c r="D81" t="s">
        <v>34</v>
      </c>
    </row>
    <row r="82" spans="1:4" x14ac:dyDescent="0.25">
      <c r="A82" s="4">
        <v>46171.077152777776</v>
      </c>
      <c r="B82" t="s">
        <v>24</v>
      </c>
      <c r="C82">
        <v>238.77</v>
      </c>
      <c r="D82" t="s">
        <v>33</v>
      </c>
    </row>
    <row r="83" spans="1:4" x14ac:dyDescent="0.25">
      <c r="A83" s="4">
        <v>46171.0783912037</v>
      </c>
      <c r="B83" t="s">
        <v>24</v>
      </c>
      <c r="C83">
        <v>20</v>
      </c>
      <c r="D83" t="s">
        <v>33</v>
      </c>
    </row>
    <row r="84" spans="1:4" x14ac:dyDescent="0.25">
      <c r="A84" s="4">
        <v>46171.079027777778</v>
      </c>
      <c r="B84" t="s">
        <v>24</v>
      </c>
      <c r="C84">
        <v>130</v>
      </c>
      <c r="D84" t="s">
        <v>34</v>
      </c>
    </row>
    <row r="85" spans="1:4" x14ac:dyDescent="0.25">
      <c r="A85" s="4">
        <v>46171.079525462963</v>
      </c>
      <c r="B85" t="s">
        <v>24</v>
      </c>
      <c r="C85">
        <v>76.55</v>
      </c>
      <c r="D85" t="s">
        <v>33</v>
      </c>
    </row>
    <row r="86" spans="1:4" x14ac:dyDescent="0.25">
      <c r="A86" s="4">
        <v>46171.082013888888</v>
      </c>
      <c r="B86" t="s">
        <v>24</v>
      </c>
      <c r="C86">
        <v>344.87</v>
      </c>
      <c r="D86" t="s">
        <v>34</v>
      </c>
    </row>
    <row r="87" spans="1:4" x14ac:dyDescent="0.25">
      <c r="A87">
        <v>46171.082025462965</v>
      </c>
      <c r="B87" t="s">
        <v>24</v>
      </c>
      <c r="C87">
        <v>127.01</v>
      </c>
      <c r="D87" t="s">
        <v>38</v>
      </c>
    </row>
  </sheetData>
  <mergeCells count="5">
    <mergeCell ref="C2:D2"/>
    <mergeCell ref="C3:D3"/>
    <mergeCell ref="C4:D4"/>
    <mergeCell ref="C5:D5"/>
    <mergeCell ref="A1:D1"/>
  </mergeCells>
  <pageMargins left="0.511811024" right="0.511811024" top="0.78740157499999996" bottom="0.78740157499999996" header="0.31496062000000002" footer="0.31496062000000002"/>
  <pageSetup paperSize="159" orientation="portrait" horizontalDpi="203" verticalDpi="20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0"/>
  <sheetViews>
    <sheetView workbookViewId="0">
      <selection activeCell="M12" sqref="M12"/>
    </sheetView>
  </sheetViews>
  <sheetFormatPr defaultRowHeight="15" x14ac:dyDescent="0.25"/>
  <cols>
    <col min="1" max="1" width="18" customWidth="1"/>
    <col min="2" max="2" width="24.5703125" style="13" bestFit="1" customWidth="1"/>
    <col min="3" max="3" width="22" bestFit="1" customWidth="1"/>
  </cols>
  <sheetData>
    <row r="1" spans="1:3" x14ac:dyDescent="0.25">
      <c r="A1" s="21" t="s">
        <v>41</v>
      </c>
      <c r="B1" s="21"/>
      <c r="C1" s="21"/>
    </row>
    <row r="2" spans="1:3" x14ac:dyDescent="0.25">
      <c r="A2" s="5" t="s">
        <v>42</v>
      </c>
      <c r="B2" s="11"/>
      <c r="C2" s="8">
        <f>SUMIF(Tabela_Sipag_2[Forma de Pagamento], "Crédito", Tabela_Sipag_2[Total plano de venda])</f>
        <v>8472.7199999999975</v>
      </c>
    </row>
    <row r="3" spans="1:3" x14ac:dyDescent="0.25">
      <c r="A3" s="5" t="s">
        <v>43</v>
      </c>
      <c r="B3" s="12"/>
      <c r="C3" s="9">
        <f>SUMIF(Tabela_Sipag_2[Forma de Pagamento], "Débito", Tabela_Sipag_2[Total plano de venda])</f>
        <v>4178.630000000001</v>
      </c>
    </row>
    <row r="4" spans="1:3" x14ac:dyDescent="0.25">
      <c r="A4" s="5" t="s">
        <v>44</v>
      </c>
      <c r="B4" s="11"/>
      <c r="C4" s="8">
        <f>SUMIF(Tabela_Sipag_2[Forma de Pagamento], "Pix", Tabela_Sipag_2[Total plano de venda])</f>
        <v>2543.1099999999997</v>
      </c>
    </row>
    <row r="5" spans="1:3" x14ac:dyDescent="0.25">
      <c r="A5" s="5" t="s">
        <v>40</v>
      </c>
      <c r="B5" s="12"/>
      <c r="C5" s="9">
        <f>SUM(C2:C4)</f>
        <v>15194.46</v>
      </c>
    </row>
    <row r="6" spans="1:3" x14ac:dyDescent="0.25">
      <c r="A6" t="s">
        <v>4</v>
      </c>
      <c r="B6" s="13" t="s">
        <v>36</v>
      </c>
      <c r="C6" t="s">
        <v>35</v>
      </c>
    </row>
    <row r="7" spans="1:3" x14ac:dyDescent="0.25">
      <c r="A7" s="4">
        <v>46170.88958333333</v>
      </c>
      <c r="B7" s="13" t="s">
        <v>38</v>
      </c>
      <c r="C7">
        <v>193.45</v>
      </c>
    </row>
    <row r="8" spans="1:3" x14ac:dyDescent="0.25">
      <c r="A8" s="4">
        <v>46170.92083333333</v>
      </c>
      <c r="B8" s="13" t="s">
        <v>34</v>
      </c>
      <c r="C8">
        <v>15</v>
      </c>
    </row>
    <row r="9" spans="1:3" x14ac:dyDescent="0.25">
      <c r="A9" s="4">
        <v>46170.941666666666</v>
      </c>
      <c r="B9" s="13" t="s">
        <v>33</v>
      </c>
      <c r="C9">
        <v>125.4</v>
      </c>
    </row>
    <row r="10" spans="1:3" x14ac:dyDescent="0.25">
      <c r="A10" s="4">
        <v>46170.946527777778</v>
      </c>
      <c r="B10" t="s">
        <v>38</v>
      </c>
      <c r="C10">
        <v>32.799999999999997</v>
      </c>
    </row>
    <row r="11" spans="1:3" x14ac:dyDescent="0.25">
      <c r="A11" s="4">
        <v>46170.966666666667</v>
      </c>
      <c r="B11" t="s">
        <v>34</v>
      </c>
      <c r="C11">
        <v>50.9</v>
      </c>
    </row>
    <row r="12" spans="1:3" x14ac:dyDescent="0.25">
      <c r="A12" s="4">
        <v>46170.97152777778</v>
      </c>
      <c r="B12" t="s">
        <v>34</v>
      </c>
      <c r="C12">
        <v>266.02999999999997</v>
      </c>
    </row>
    <row r="13" spans="1:3" x14ac:dyDescent="0.25">
      <c r="A13" s="4">
        <v>46170.973611111112</v>
      </c>
      <c r="B13" t="s">
        <v>34</v>
      </c>
      <c r="C13">
        <v>257.33999999999997</v>
      </c>
    </row>
    <row r="14" spans="1:3" x14ac:dyDescent="0.25">
      <c r="A14" s="4">
        <v>46170.978472222225</v>
      </c>
      <c r="B14" t="s">
        <v>34</v>
      </c>
      <c r="C14">
        <v>68.25</v>
      </c>
    </row>
    <row r="15" spans="1:3" x14ac:dyDescent="0.25">
      <c r="A15" s="4">
        <v>46170.979861111111</v>
      </c>
      <c r="B15" t="s">
        <v>38</v>
      </c>
      <c r="C15">
        <v>51.35</v>
      </c>
    </row>
    <row r="16" spans="1:3" x14ac:dyDescent="0.25">
      <c r="A16" s="4">
        <v>46170.993055555555</v>
      </c>
      <c r="B16" t="s">
        <v>33</v>
      </c>
      <c r="C16">
        <v>30</v>
      </c>
    </row>
    <row r="17" spans="1:3" x14ac:dyDescent="0.25">
      <c r="A17" s="4">
        <v>46170.99722222222</v>
      </c>
      <c r="B17" t="s">
        <v>34</v>
      </c>
      <c r="C17">
        <v>70.150000000000006</v>
      </c>
    </row>
    <row r="18" spans="1:3" x14ac:dyDescent="0.25">
      <c r="A18" s="4">
        <v>46171.000694444447</v>
      </c>
      <c r="B18" t="s">
        <v>34</v>
      </c>
      <c r="C18">
        <v>30</v>
      </c>
    </row>
    <row r="19" spans="1:3" x14ac:dyDescent="0.25">
      <c r="A19" s="4">
        <v>46171.006249999999</v>
      </c>
      <c r="B19" t="s">
        <v>34</v>
      </c>
      <c r="C19">
        <v>77.7</v>
      </c>
    </row>
    <row r="20" spans="1:3" x14ac:dyDescent="0.25">
      <c r="A20" s="4">
        <v>46171.018055555556</v>
      </c>
      <c r="B20" t="s">
        <v>34</v>
      </c>
      <c r="C20">
        <v>56.4</v>
      </c>
    </row>
    <row r="21" spans="1:3" x14ac:dyDescent="0.25">
      <c r="A21" s="4">
        <v>46171.022222222222</v>
      </c>
      <c r="B21" t="s">
        <v>34</v>
      </c>
      <c r="C21">
        <v>30</v>
      </c>
    </row>
    <row r="22" spans="1:3" x14ac:dyDescent="0.25">
      <c r="A22" s="4">
        <v>46171.025694444441</v>
      </c>
      <c r="B22" t="s">
        <v>38</v>
      </c>
      <c r="C22">
        <v>86.65</v>
      </c>
    </row>
    <row r="23" spans="1:3" x14ac:dyDescent="0.25">
      <c r="A23" s="4">
        <v>46171.027777777781</v>
      </c>
      <c r="B23" t="s">
        <v>33</v>
      </c>
      <c r="C23">
        <v>98.75</v>
      </c>
    </row>
    <row r="24" spans="1:3" x14ac:dyDescent="0.25">
      <c r="A24" s="4">
        <v>46171.030555555553</v>
      </c>
      <c r="B24" t="s">
        <v>34</v>
      </c>
      <c r="C24">
        <v>72.400000000000006</v>
      </c>
    </row>
    <row r="25" spans="1:3" x14ac:dyDescent="0.25">
      <c r="A25" s="4">
        <v>46171.048611111109</v>
      </c>
      <c r="B25" t="s">
        <v>34</v>
      </c>
      <c r="C25">
        <v>330.75</v>
      </c>
    </row>
    <row r="26" spans="1:3" x14ac:dyDescent="0.25">
      <c r="A26" s="4">
        <v>46171.05972222222</v>
      </c>
      <c r="B26" t="s">
        <v>34</v>
      </c>
      <c r="C26">
        <v>47.82</v>
      </c>
    </row>
    <row r="27" spans="1:3" x14ac:dyDescent="0.25">
      <c r="A27" s="4">
        <v>46171.061805555553</v>
      </c>
      <c r="B27" t="s">
        <v>34</v>
      </c>
      <c r="C27">
        <v>78.7</v>
      </c>
    </row>
    <row r="28" spans="1:3" x14ac:dyDescent="0.25">
      <c r="A28" s="4">
        <v>46171.064583333333</v>
      </c>
      <c r="B28" t="s">
        <v>38</v>
      </c>
      <c r="C28">
        <v>62.04</v>
      </c>
    </row>
    <row r="29" spans="1:3" x14ac:dyDescent="0.25">
      <c r="A29" s="4">
        <v>46171.071527777778</v>
      </c>
      <c r="B29" t="s">
        <v>38</v>
      </c>
      <c r="C29">
        <v>63</v>
      </c>
    </row>
    <row r="30" spans="1:3" x14ac:dyDescent="0.25">
      <c r="A30" s="4">
        <v>46171.072916666664</v>
      </c>
      <c r="B30" t="s">
        <v>34</v>
      </c>
      <c r="C30">
        <v>329.2</v>
      </c>
    </row>
    <row r="31" spans="1:3" x14ac:dyDescent="0.25">
      <c r="A31" s="4">
        <v>46171.07916666667</v>
      </c>
      <c r="B31" t="s">
        <v>34</v>
      </c>
      <c r="C31">
        <v>190.82</v>
      </c>
    </row>
    <row r="32" spans="1:3" x14ac:dyDescent="0.25">
      <c r="A32" s="4">
        <v>46171.079861111109</v>
      </c>
      <c r="B32" t="s">
        <v>33</v>
      </c>
      <c r="C32">
        <v>190.82</v>
      </c>
    </row>
    <row r="33" spans="1:3" x14ac:dyDescent="0.25">
      <c r="A33" s="4">
        <v>46171.080555555556</v>
      </c>
      <c r="B33" t="s">
        <v>34</v>
      </c>
      <c r="C33">
        <v>57.5</v>
      </c>
    </row>
    <row r="34" spans="1:3" x14ac:dyDescent="0.25">
      <c r="A34" s="4">
        <v>46171.081250000003</v>
      </c>
      <c r="B34" t="s">
        <v>38</v>
      </c>
      <c r="C34">
        <v>105.35</v>
      </c>
    </row>
    <row r="35" spans="1:3" x14ac:dyDescent="0.25">
      <c r="A35" s="4">
        <v>46171.082638888889</v>
      </c>
      <c r="B35" t="s">
        <v>38</v>
      </c>
      <c r="C35">
        <v>30</v>
      </c>
    </row>
    <row r="36" spans="1:3" x14ac:dyDescent="0.25">
      <c r="A36" s="4">
        <v>46171.086111111108</v>
      </c>
      <c r="B36" t="s">
        <v>34</v>
      </c>
      <c r="C36">
        <v>81.95</v>
      </c>
    </row>
    <row r="37" spans="1:3" x14ac:dyDescent="0.25">
      <c r="A37" s="4">
        <v>46171.089583333334</v>
      </c>
      <c r="B37" t="s">
        <v>38</v>
      </c>
      <c r="C37">
        <v>96.22</v>
      </c>
    </row>
    <row r="38" spans="1:3" x14ac:dyDescent="0.25">
      <c r="A38" s="4">
        <v>46171.09375</v>
      </c>
      <c r="B38" t="s">
        <v>38</v>
      </c>
      <c r="C38">
        <v>201.13</v>
      </c>
    </row>
    <row r="39" spans="1:3" x14ac:dyDescent="0.25">
      <c r="A39" s="4">
        <v>46171.095833333333</v>
      </c>
      <c r="B39" t="s">
        <v>33</v>
      </c>
      <c r="C39">
        <v>84.45</v>
      </c>
    </row>
    <row r="40" spans="1:3" x14ac:dyDescent="0.25">
      <c r="A40" s="4">
        <v>46171.097916666666</v>
      </c>
      <c r="B40" t="s">
        <v>33</v>
      </c>
      <c r="C40">
        <v>94.35</v>
      </c>
    </row>
    <row r="41" spans="1:3" x14ac:dyDescent="0.25">
      <c r="A41" s="4">
        <v>46171.098611111112</v>
      </c>
      <c r="B41" t="s">
        <v>34</v>
      </c>
      <c r="C41">
        <v>62.45</v>
      </c>
    </row>
    <row r="42" spans="1:3" x14ac:dyDescent="0.25">
      <c r="A42" s="4">
        <v>46171.101388888892</v>
      </c>
      <c r="B42" t="s">
        <v>38</v>
      </c>
      <c r="C42">
        <v>113.34</v>
      </c>
    </row>
    <row r="43" spans="1:3" x14ac:dyDescent="0.25">
      <c r="A43" s="4">
        <v>46171.102777777778</v>
      </c>
      <c r="B43" t="s">
        <v>33</v>
      </c>
      <c r="C43">
        <v>32</v>
      </c>
    </row>
    <row r="44" spans="1:3" x14ac:dyDescent="0.25">
      <c r="A44" s="4">
        <v>46171.103472222225</v>
      </c>
      <c r="B44" t="s">
        <v>38</v>
      </c>
      <c r="C44">
        <v>32</v>
      </c>
    </row>
    <row r="45" spans="1:3" x14ac:dyDescent="0.25">
      <c r="A45" s="4">
        <v>46171.103472222225</v>
      </c>
      <c r="B45" t="s">
        <v>38</v>
      </c>
      <c r="C45">
        <v>124.33</v>
      </c>
    </row>
    <row r="46" spans="1:3" x14ac:dyDescent="0.25">
      <c r="A46" s="4">
        <v>46171.107638888891</v>
      </c>
      <c r="B46" t="s">
        <v>34</v>
      </c>
      <c r="C46">
        <v>165.85</v>
      </c>
    </row>
    <row r="47" spans="1:3" x14ac:dyDescent="0.25">
      <c r="A47" s="4">
        <v>46171.107638888891</v>
      </c>
      <c r="B47" t="s">
        <v>34</v>
      </c>
      <c r="C47">
        <v>128.35</v>
      </c>
    </row>
    <row r="48" spans="1:3" x14ac:dyDescent="0.25">
      <c r="A48" s="4">
        <v>46171.10833333333</v>
      </c>
      <c r="B48" t="s">
        <v>33</v>
      </c>
      <c r="C48">
        <v>80.150000000000006</v>
      </c>
    </row>
    <row r="49" spans="1:3" x14ac:dyDescent="0.25">
      <c r="A49" s="4">
        <v>46171.109027777777</v>
      </c>
      <c r="B49" t="s">
        <v>33</v>
      </c>
      <c r="C49">
        <v>218.32</v>
      </c>
    </row>
    <row r="50" spans="1:3" x14ac:dyDescent="0.25">
      <c r="A50" s="4">
        <v>46171.111111111109</v>
      </c>
      <c r="B50" t="s">
        <v>33</v>
      </c>
      <c r="C50">
        <v>128.19999999999999</v>
      </c>
    </row>
    <row r="51" spans="1:3" x14ac:dyDescent="0.25">
      <c r="A51" s="4">
        <v>46171.111111111109</v>
      </c>
      <c r="B51" t="s">
        <v>33</v>
      </c>
      <c r="C51">
        <v>128.19999999999999</v>
      </c>
    </row>
    <row r="52" spans="1:3" x14ac:dyDescent="0.25">
      <c r="A52" s="4">
        <v>46171.111805555556</v>
      </c>
      <c r="B52" t="s">
        <v>34</v>
      </c>
      <c r="C52">
        <v>367.4</v>
      </c>
    </row>
    <row r="53" spans="1:3" x14ac:dyDescent="0.25">
      <c r="A53" s="4">
        <v>46171.112500000003</v>
      </c>
      <c r="B53" t="s">
        <v>33</v>
      </c>
      <c r="C53">
        <v>334.75</v>
      </c>
    </row>
    <row r="54" spans="1:3" x14ac:dyDescent="0.25">
      <c r="A54" s="4">
        <v>46171.113194444442</v>
      </c>
      <c r="B54" t="s">
        <v>34</v>
      </c>
      <c r="C54">
        <v>48.15</v>
      </c>
    </row>
    <row r="55" spans="1:3" x14ac:dyDescent="0.25">
      <c r="A55" s="4">
        <v>46171.113194444442</v>
      </c>
      <c r="B55" t="s">
        <v>34</v>
      </c>
      <c r="C55">
        <v>156.5</v>
      </c>
    </row>
    <row r="56" spans="1:3" x14ac:dyDescent="0.25">
      <c r="A56" s="4">
        <v>46171.113888888889</v>
      </c>
      <c r="B56" t="s">
        <v>34</v>
      </c>
      <c r="C56">
        <v>119.1</v>
      </c>
    </row>
    <row r="57" spans="1:3" x14ac:dyDescent="0.25">
      <c r="A57" s="4">
        <v>46171.115277777775</v>
      </c>
      <c r="B57" t="s">
        <v>34</v>
      </c>
      <c r="C57">
        <v>714.95</v>
      </c>
    </row>
    <row r="58" spans="1:3" x14ac:dyDescent="0.25">
      <c r="A58" s="4">
        <v>46171.121527777781</v>
      </c>
      <c r="B58" t="s">
        <v>34</v>
      </c>
      <c r="C58">
        <v>226.55</v>
      </c>
    </row>
    <row r="59" spans="1:3" x14ac:dyDescent="0.25">
      <c r="A59" s="4">
        <v>46171.122916666667</v>
      </c>
      <c r="B59" t="s">
        <v>33</v>
      </c>
      <c r="C59">
        <v>115.8</v>
      </c>
    </row>
    <row r="60" spans="1:3" x14ac:dyDescent="0.25">
      <c r="A60" s="4">
        <v>46171.125</v>
      </c>
      <c r="B60" t="s">
        <v>34</v>
      </c>
      <c r="C60">
        <v>46.5</v>
      </c>
    </row>
    <row r="61" spans="1:3" x14ac:dyDescent="0.25">
      <c r="A61" s="4">
        <v>46171.125694444447</v>
      </c>
      <c r="B61" t="s">
        <v>38</v>
      </c>
      <c r="C61">
        <v>71.8</v>
      </c>
    </row>
    <row r="62" spans="1:3" x14ac:dyDescent="0.25">
      <c r="A62" s="4">
        <v>46171.127083333333</v>
      </c>
      <c r="B62" t="s">
        <v>34</v>
      </c>
      <c r="C62">
        <v>122.7</v>
      </c>
    </row>
    <row r="63" spans="1:3" x14ac:dyDescent="0.25">
      <c r="A63" s="4">
        <v>46171.127083333333</v>
      </c>
      <c r="B63" t="s">
        <v>33</v>
      </c>
      <c r="C63">
        <v>149.1</v>
      </c>
    </row>
    <row r="64" spans="1:3" x14ac:dyDescent="0.25">
      <c r="A64" s="4">
        <v>46171.128472222219</v>
      </c>
      <c r="B64" t="s">
        <v>34</v>
      </c>
      <c r="C64">
        <v>138.9</v>
      </c>
    </row>
    <row r="65" spans="1:3" x14ac:dyDescent="0.25">
      <c r="A65" s="4">
        <v>46171.129166666666</v>
      </c>
      <c r="B65" t="s">
        <v>38</v>
      </c>
      <c r="C65">
        <v>82.25</v>
      </c>
    </row>
    <row r="66" spans="1:3" x14ac:dyDescent="0.25">
      <c r="A66" s="4">
        <v>46171.131944444445</v>
      </c>
      <c r="B66" t="s">
        <v>34</v>
      </c>
      <c r="C66">
        <v>9.5</v>
      </c>
    </row>
    <row r="67" spans="1:3" x14ac:dyDescent="0.25">
      <c r="A67" s="4">
        <v>46171.011111111111</v>
      </c>
      <c r="B67" t="s">
        <v>34</v>
      </c>
      <c r="C67">
        <v>9.5</v>
      </c>
    </row>
    <row r="68" spans="1:3" x14ac:dyDescent="0.25">
      <c r="A68" s="4">
        <v>46171.013194444444</v>
      </c>
      <c r="B68" t="s">
        <v>34</v>
      </c>
      <c r="C68">
        <v>135.05000000000001</v>
      </c>
    </row>
    <row r="69" spans="1:3" x14ac:dyDescent="0.25">
      <c r="A69" s="4">
        <v>46171.023611111108</v>
      </c>
      <c r="B69" t="s">
        <v>33</v>
      </c>
      <c r="C69">
        <v>9.5</v>
      </c>
    </row>
    <row r="70" spans="1:3" x14ac:dyDescent="0.25">
      <c r="A70" s="4">
        <v>46171.035416666666</v>
      </c>
      <c r="B70" t="s">
        <v>34</v>
      </c>
      <c r="C70">
        <v>38.72</v>
      </c>
    </row>
    <row r="71" spans="1:3" x14ac:dyDescent="0.25">
      <c r="A71" s="4">
        <v>46171.036111111112</v>
      </c>
      <c r="B71" t="s">
        <v>38</v>
      </c>
      <c r="C71">
        <v>141.69999999999999</v>
      </c>
    </row>
    <row r="72" spans="1:3" x14ac:dyDescent="0.25">
      <c r="A72" s="4">
        <v>46171.038194444445</v>
      </c>
      <c r="B72" t="s">
        <v>38</v>
      </c>
      <c r="C72">
        <v>52</v>
      </c>
    </row>
    <row r="73" spans="1:3" x14ac:dyDescent="0.25">
      <c r="A73" s="4">
        <v>46171.038888888892</v>
      </c>
      <c r="B73" t="s">
        <v>33</v>
      </c>
      <c r="C73">
        <v>163.9</v>
      </c>
    </row>
    <row r="74" spans="1:3" x14ac:dyDescent="0.25">
      <c r="A74" s="4">
        <v>46171.05</v>
      </c>
      <c r="B74" t="s">
        <v>38</v>
      </c>
      <c r="C74">
        <v>81.599999999999994</v>
      </c>
    </row>
    <row r="75" spans="1:3" x14ac:dyDescent="0.25">
      <c r="A75" s="4">
        <v>46171.055555555555</v>
      </c>
      <c r="B75" t="s">
        <v>34</v>
      </c>
      <c r="C75">
        <v>65.650000000000006</v>
      </c>
    </row>
    <row r="76" spans="1:3" x14ac:dyDescent="0.25">
      <c r="A76" s="4">
        <v>46171.055555555555</v>
      </c>
      <c r="B76" t="s">
        <v>33</v>
      </c>
      <c r="C76">
        <v>65.05</v>
      </c>
    </row>
    <row r="77" spans="1:3" x14ac:dyDescent="0.25">
      <c r="A77" s="4">
        <v>46171.057638888888</v>
      </c>
      <c r="B77" t="s">
        <v>34</v>
      </c>
      <c r="C77">
        <v>90.72</v>
      </c>
    </row>
    <row r="78" spans="1:3" x14ac:dyDescent="0.25">
      <c r="A78" s="4">
        <v>46171.059027777781</v>
      </c>
      <c r="B78" t="s">
        <v>34</v>
      </c>
      <c r="C78">
        <v>156.94999999999999</v>
      </c>
    </row>
    <row r="79" spans="1:3" x14ac:dyDescent="0.25">
      <c r="A79" s="4">
        <v>46171.05972222222</v>
      </c>
      <c r="B79" t="s">
        <v>34</v>
      </c>
      <c r="C79">
        <v>201.82</v>
      </c>
    </row>
    <row r="80" spans="1:3" x14ac:dyDescent="0.25">
      <c r="A80" s="4">
        <v>46171.061111111114</v>
      </c>
      <c r="B80" t="s">
        <v>34</v>
      </c>
      <c r="C80">
        <v>71.8</v>
      </c>
    </row>
    <row r="81" spans="1:3" x14ac:dyDescent="0.25">
      <c r="A81" s="4">
        <v>46171.064583333333</v>
      </c>
      <c r="B81" t="s">
        <v>33</v>
      </c>
      <c r="C81">
        <v>85.55</v>
      </c>
    </row>
    <row r="82" spans="1:3" x14ac:dyDescent="0.25">
      <c r="A82" s="4">
        <v>46171.072222222225</v>
      </c>
      <c r="B82" t="s">
        <v>34</v>
      </c>
      <c r="C82">
        <v>46.5</v>
      </c>
    </row>
    <row r="83" spans="1:3" x14ac:dyDescent="0.25">
      <c r="A83" s="4">
        <v>46171.074305555558</v>
      </c>
      <c r="B83" t="s">
        <v>34</v>
      </c>
      <c r="C83">
        <v>66.3</v>
      </c>
    </row>
    <row r="84" spans="1:3" x14ac:dyDescent="0.25">
      <c r="A84" s="4">
        <v>46171.074305555558</v>
      </c>
      <c r="B84" t="s">
        <v>38</v>
      </c>
      <c r="C84">
        <v>237.9</v>
      </c>
    </row>
    <row r="85" spans="1:3" x14ac:dyDescent="0.25">
      <c r="A85" s="4">
        <v>46171.075694444444</v>
      </c>
      <c r="B85" t="s">
        <v>38</v>
      </c>
      <c r="C85">
        <v>120.75</v>
      </c>
    </row>
    <row r="86" spans="1:3" x14ac:dyDescent="0.25">
      <c r="A86" s="4">
        <v>46171.078472222223</v>
      </c>
      <c r="B86" t="s">
        <v>38</v>
      </c>
      <c r="C86">
        <v>319.2</v>
      </c>
    </row>
    <row r="87" spans="1:3" x14ac:dyDescent="0.25">
      <c r="A87" s="4">
        <v>46171.07916666667</v>
      </c>
      <c r="B87" t="s">
        <v>34</v>
      </c>
      <c r="C87">
        <v>239.55</v>
      </c>
    </row>
    <row r="88" spans="1:3" x14ac:dyDescent="0.25">
      <c r="A88" s="4">
        <v>46171.081944444442</v>
      </c>
      <c r="B88" t="s">
        <v>33</v>
      </c>
      <c r="C88">
        <v>83.9</v>
      </c>
    </row>
    <row r="89" spans="1:3" x14ac:dyDescent="0.25">
      <c r="A89" s="4">
        <v>46171.083333333336</v>
      </c>
      <c r="B89" t="s">
        <v>34</v>
      </c>
      <c r="C89">
        <v>257.45</v>
      </c>
    </row>
    <row r="90" spans="1:3" x14ac:dyDescent="0.25">
      <c r="A90" s="4">
        <v>46171.084027777775</v>
      </c>
      <c r="B90" t="s">
        <v>34</v>
      </c>
      <c r="C90">
        <v>127.9</v>
      </c>
    </row>
    <row r="91" spans="1:3" x14ac:dyDescent="0.25">
      <c r="A91" s="4">
        <v>46171.085416666669</v>
      </c>
      <c r="B91" t="s">
        <v>34</v>
      </c>
      <c r="C91">
        <v>61.35</v>
      </c>
    </row>
    <row r="92" spans="1:3" x14ac:dyDescent="0.25">
      <c r="A92" s="4">
        <v>46171.085416666669</v>
      </c>
      <c r="B92" t="s">
        <v>34</v>
      </c>
      <c r="C92">
        <v>38</v>
      </c>
    </row>
    <row r="93" spans="1:3" x14ac:dyDescent="0.25">
      <c r="A93" s="4">
        <v>46171.086111111108</v>
      </c>
      <c r="B93" t="s">
        <v>34</v>
      </c>
      <c r="C93">
        <v>66.3</v>
      </c>
    </row>
    <row r="94" spans="1:3" x14ac:dyDescent="0.25">
      <c r="A94" s="4">
        <v>46171.086805555555</v>
      </c>
      <c r="B94" t="s">
        <v>34</v>
      </c>
      <c r="C94">
        <v>84.5</v>
      </c>
    </row>
    <row r="95" spans="1:3" x14ac:dyDescent="0.25">
      <c r="A95" s="4">
        <v>46171.087500000001</v>
      </c>
      <c r="B95" t="s">
        <v>34</v>
      </c>
      <c r="C95">
        <v>161.44999999999999</v>
      </c>
    </row>
    <row r="96" spans="1:3" x14ac:dyDescent="0.25">
      <c r="A96" s="4">
        <v>46171.088194444441</v>
      </c>
      <c r="B96" t="s">
        <v>38</v>
      </c>
      <c r="C96">
        <v>164.2</v>
      </c>
    </row>
    <row r="97" spans="1:3" x14ac:dyDescent="0.25">
      <c r="A97" s="4">
        <v>46171.090277777781</v>
      </c>
      <c r="B97" t="s">
        <v>34</v>
      </c>
      <c r="C97">
        <v>142.75</v>
      </c>
    </row>
    <row r="98" spans="1:3" x14ac:dyDescent="0.25">
      <c r="A98" s="4">
        <v>46171.09097222222</v>
      </c>
      <c r="B98" t="s">
        <v>34</v>
      </c>
      <c r="C98">
        <v>181.15</v>
      </c>
    </row>
    <row r="99" spans="1:3" x14ac:dyDescent="0.25">
      <c r="A99" s="4">
        <v>46171.091666666667</v>
      </c>
      <c r="B99" t="s">
        <v>34</v>
      </c>
      <c r="C99">
        <v>199.15</v>
      </c>
    </row>
    <row r="100" spans="1:3" x14ac:dyDescent="0.25">
      <c r="A100" s="4">
        <v>46171.09375</v>
      </c>
      <c r="B100" t="s">
        <v>34</v>
      </c>
      <c r="C100">
        <v>138.65</v>
      </c>
    </row>
    <row r="101" spans="1:3" x14ac:dyDescent="0.25">
      <c r="A101" s="4">
        <v>46171.094444444447</v>
      </c>
      <c r="B101" t="s">
        <v>38</v>
      </c>
      <c r="C101">
        <v>80.05</v>
      </c>
    </row>
    <row r="102" spans="1:3" x14ac:dyDescent="0.25">
      <c r="A102" s="4">
        <v>46171.097916666666</v>
      </c>
      <c r="B102" t="s">
        <v>33</v>
      </c>
      <c r="C102">
        <v>284.64999999999998</v>
      </c>
    </row>
    <row r="103" spans="1:3" x14ac:dyDescent="0.25">
      <c r="A103" s="4">
        <v>46171.104166666664</v>
      </c>
      <c r="B103" t="s">
        <v>34</v>
      </c>
      <c r="C103">
        <v>170.8</v>
      </c>
    </row>
    <row r="104" spans="1:3" x14ac:dyDescent="0.25">
      <c r="A104" s="4">
        <v>46171.104861111111</v>
      </c>
      <c r="B104" t="s">
        <v>34</v>
      </c>
      <c r="C104">
        <v>40.450000000000003</v>
      </c>
    </row>
    <row r="105" spans="1:3" x14ac:dyDescent="0.25">
      <c r="A105" s="4">
        <v>46171.106944444444</v>
      </c>
      <c r="B105" t="s">
        <v>34</v>
      </c>
      <c r="C105">
        <v>262.64999999999998</v>
      </c>
    </row>
    <row r="106" spans="1:3" x14ac:dyDescent="0.25">
      <c r="A106" s="4">
        <v>46171.107638888891</v>
      </c>
      <c r="B106" t="s">
        <v>33</v>
      </c>
      <c r="C106">
        <v>400</v>
      </c>
    </row>
    <row r="107" spans="1:3" x14ac:dyDescent="0.25">
      <c r="A107" s="4">
        <v>46171.10833333333</v>
      </c>
      <c r="B107" t="s">
        <v>33</v>
      </c>
      <c r="C107">
        <v>193.4</v>
      </c>
    </row>
    <row r="108" spans="1:3" x14ac:dyDescent="0.25">
      <c r="A108" s="4">
        <v>46171.111805555556</v>
      </c>
      <c r="B108" t="s">
        <v>33</v>
      </c>
      <c r="C108">
        <v>230.1</v>
      </c>
    </row>
    <row r="109" spans="1:3" x14ac:dyDescent="0.25">
      <c r="A109" s="4">
        <v>46171.115277777775</v>
      </c>
      <c r="B109" t="s">
        <v>33</v>
      </c>
      <c r="C109">
        <v>50.9</v>
      </c>
    </row>
    <row r="110" spans="1:3" x14ac:dyDescent="0.25">
      <c r="A110" s="4">
        <v>46171.115972222222</v>
      </c>
      <c r="B110" t="s">
        <v>33</v>
      </c>
      <c r="C110">
        <v>175.09</v>
      </c>
    </row>
    <row r="111" spans="1:3" x14ac:dyDescent="0.25">
      <c r="A111" s="4">
        <v>46171.116666666669</v>
      </c>
      <c r="B111" t="s">
        <v>33</v>
      </c>
      <c r="C111">
        <v>96.55</v>
      </c>
    </row>
    <row r="112" spans="1:3" x14ac:dyDescent="0.25">
      <c r="A112" s="4">
        <v>46171.117361111108</v>
      </c>
      <c r="B112" t="s">
        <v>33</v>
      </c>
      <c r="C112">
        <v>67.400000000000006</v>
      </c>
    </row>
    <row r="113" spans="1:3" x14ac:dyDescent="0.25">
      <c r="A113" s="4">
        <v>46171.118055555555</v>
      </c>
      <c r="B113" t="s">
        <v>33</v>
      </c>
      <c r="C113">
        <v>121.85</v>
      </c>
    </row>
    <row r="114" spans="1:3" x14ac:dyDescent="0.25">
      <c r="A114" s="4">
        <v>46171.118750000001</v>
      </c>
      <c r="B114" t="s">
        <v>34</v>
      </c>
      <c r="C114">
        <v>129.55000000000001</v>
      </c>
    </row>
    <row r="115" spans="1:3" x14ac:dyDescent="0.25">
      <c r="A115" s="4">
        <v>46171.119444444441</v>
      </c>
      <c r="B115" t="s">
        <v>34</v>
      </c>
      <c r="C115">
        <v>170.7</v>
      </c>
    </row>
    <row r="116" spans="1:3" x14ac:dyDescent="0.25">
      <c r="A116" s="4">
        <v>46171.127083333333</v>
      </c>
      <c r="B116" t="s">
        <v>33</v>
      </c>
      <c r="C116">
        <v>340.5</v>
      </c>
    </row>
    <row r="117" spans="1:3" x14ac:dyDescent="0.25">
      <c r="A117" s="4">
        <v>46171.12777777778</v>
      </c>
      <c r="B117" t="s">
        <v>34</v>
      </c>
      <c r="C117">
        <v>386.9</v>
      </c>
    </row>
    <row r="118" spans="1:3" x14ac:dyDescent="0.25">
      <c r="A118" s="4">
        <v>46171.128472222219</v>
      </c>
      <c r="B118" t="s">
        <v>34</v>
      </c>
      <c r="C118">
        <v>71.8</v>
      </c>
    </row>
    <row r="119" spans="1:3" x14ac:dyDescent="0.25">
      <c r="A119" s="4">
        <v>46171.130555555559</v>
      </c>
      <c r="B119" t="s">
        <v>34</v>
      </c>
      <c r="C119">
        <v>119</v>
      </c>
    </row>
    <row r="120" spans="1:3" x14ac:dyDescent="0.25">
      <c r="A120" s="4">
        <v>46171.131249999999</v>
      </c>
      <c r="B120" t="s">
        <v>34</v>
      </c>
      <c r="C120">
        <v>121.85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0"/>
  <sheetViews>
    <sheetView topLeftCell="C76" workbookViewId="0">
      <selection activeCell="K100" sqref="K100"/>
    </sheetView>
  </sheetViews>
  <sheetFormatPr defaultRowHeight="15" x14ac:dyDescent="0.25"/>
  <cols>
    <col min="1" max="1" width="9" bestFit="1" customWidth="1"/>
    <col min="2" max="2" width="26.85546875" bestFit="1" customWidth="1"/>
    <col min="3" max="3" width="18.28515625" style="4" bestFit="1" customWidth="1"/>
    <col min="4" max="4" width="16.7109375" customWidth="1"/>
    <col min="5" max="5" width="17.85546875" bestFit="1" customWidth="1"/>
    <col min="6" max="6" width="21.5703125" customWidth="1"/>
    <col min="7" max="7" width="10.140625" bestFit="1" customWidth="1"/>
    <col min="8" max="8" width="15.5703125" customWidth="1"/>
    <col min="9" max="9" width="17" customWidth="1"/>
    <col min="10" max="10" width="14.28515625" customWidth="1"/>
    <col min="11" max="11" width="14" customWidth="1"/>
    <col min="12" max="12" width="25.7109375" bestFit="1" customWidth="1"/>
    <col min="13" max="13" width="20" customWidth="1"/>
    <col min="14" max="14" width="17.7109375" customWidth="1"/>
    <col min="15" max="15" width="22.85546875" customWidth="1"/>
    <col min="16" max="16" width="30.85546875" customWidth="1"/>
    <col min="17" max="17" width="20.42578125" customWidth="1"/>
    <col min="18" max="18" width="18.5703125" bestFit="1" customWidth="1"/>
    <col min="19" max="19" width="34.140625" customWidth="1"/>
  </cols>
  <sheetData>
    <row r="1" spans="1:19" ht="14.25" customHeight="1" x14ac:dyDescent="0.25">
      <c r="A1" t="s">
        <v>17</v>
      </c>
      <c r="B1" t="s">
        <v>14</v>
      </c>
      <c r="C1" t="s">
        <v>4</v>
      </c>
      <c r="D1" t="s">
        <v>13</v>
      </c>
      <c r="E1" t="s">
        <v>12</v>
      </c>
      <c r="F1" t="s">
        <v>9</v>
      </c>
      <c r="G1" t="s">
        <v>11</v>
      </c>
      <c r="H1" t="s">
        <v>8</v>
      </c>
      <c r="I1" t="s">
        <v>10</v>
      </c>
      <c r="J1" t="s">
        <v>16</v>
      </c>
      <c r="K1" t="s">
        <v>7</v>
      </c>
      <c r="L1" t="s">
        <v>3</v>
      </c>
      <c r="M1" t="s">
        <v>2</v>
      </c>
      <c r="N1" t="s">
        <v>6</v>
      </c>
      <c r="O1" t="s">
        <v>15</v>
      </c>
      <c r="P1" t="s">
        <v>1</v>
      </c>
      <c r="Q1" t="s">
        <v>5</v>
      </c>
      <c r="R1" t="s">
        <v>0</v>
      </c>
      <c r="S1" t="s">
        <v>18</v>
      </c>
    </row>
    <row r="2" spans="1:19" x14ac:dyDescent="0.25">
      <c r="A2">
        <v>12345678</v>
      </c>
      <c r="B2" t="s">
        <v>157</v>
      </c>
      <c r="C2" t="s">
        <v>63</v>
      </c>
      <c r="D2">
        <v>123456</v>
      </c>
      <c r="E2" s="18">
        <v>12334567000189</v>
      </c>
      <c r="F2" t="s">
        <v>252</v>
      </c>
      <c r="G2" t="s">
        <v>24</v>
      </c>
      <c r="H2">
        <v>138.6</v>
      </c>
      <c r="I2">
        <v>136.44999999999999</v>
      </c>
      <c r="J2">
        <v>2.15</v>
      </c>
      <c r="K2" t="s">
        <v>26</v>
      </c>
      <c r="L2" t="s">
        <v>20</v>
      </c>
      <c r="M2" t="s">
        <v>27</v>
      </c>
      <c r="N2" t="s">
        <v>21</v>
      </c>
      <c r="O2" t="s">
        <v>19</v>
      </c>
      <c r="P2">
        <v>1234</v>
      </c>
      <c r="Q2" t="s">
        <v>22</v>
      </c>
      <c r="R2" t="s">
        <v>253</v>
      </c>
      <c r="S2">
        <v>123456789</v>
      </c>
    </row>
    <row r="3" spans="1:19" x14ac:dyDescent="0.25">
      <c r="A3">
        <v>12345678</v>
      </c>
      <c r="B3" t="s">
        <v>158</v>
      </c>
      <c r="C3" t="s">
        <v>64</v>
      </c>
      <c r="D3">
        <v>123456</v>
      </c>
      <c r="E3" s="18">
        <v>12334567000189</v>
      </c>
      <c r="F3" t="s">
        <v>252</v>
      </c>
      <c r="G3" t="s">
        <v>24</v>
      </c>
      <c r="H3">
        <v>71.7</v>
      </c>
      <c r="I3">
        <v>68.94</v>
      </c>
      <c r="J3">
        <v>2.76</v>
      </c>
      <c r="K3" t="s">
        <v>29</v>
      </c>
      <c r="L3" t="s">
        <v>20</v>
      </c>
      <c r="M3" t="s">
        <v>28</v>
      </c>
      <c r="N3" t="s">
        <v>21</v>
      </c>
      <c r="O3" t="s">
        <v>19</v>
      </c>
      <c r="P3">
        <v>1234</v>
      </c>
      <c r="Q3" t="s">
        <v>22</v>
      </c>
      <c r="R3" t="s">
        <v>253</v>
      </c>
      <c r="S3">
        <v>123456789</v>
      </c>
    </row>
    <row r="4" spans="1:19" x14ac:dyDescent="0.25">
      <c r="A4">
        <v>12345678</v>
      </c>
      <c r="B4" t="s">
        <v>159</v>
      </c>
      <c r="C4" t="s">
        <v>65</v>
      </c>
      <c r="D4">
        <v>123456</v>
      </c>
      <c r="E4" s="18">
        <v>12334567000189</v>
      </c>
      <c r="F4" t="s">
        <v>252</v>
      </c>
      <c r="G4" t="s">
        <v>24</v>
      </c>
      <c r="H4">
        <v>36.4</v>
      </c>
      <c r="I4">
        <v>35</v>
      </c>
      <c r="J4">
        <v>1.4</v>
      </c>
      <c r="K4" t="s">
        <v>29</v>
      </c>
      <c r="L4" t="s">
        <v>20</v>
      </c>
      <c r="M4" t="s">
        <v>30</v>
      </c>
      <c r="N4" t="s">
        <v>21</v>
      </c>
      <c r="O4" t="s">
        <v>19</v>
      </c>
      <c r="P4">
        <v>1234</v>
      </c>
      <c r="Q4" t="s">
        <v>22</v>
      </c>
      <c r="R4" t="s">
        <v>253</v>
      </c>
      <c r="S4">
        <v>123456789</v>
      </c>
    </row>
    <row r="5" spans="1:19" x14ac:dyDescent="0.25">
      <c r="A5">
        <v>12345678</v>
      </c>
      <c r="B5" t="s">
        <v>160</v>
      </c>
      <c r="C5" t="s">
        <v>66</v>
      </c>
      <c r="D5">
        <v>123456</v>
      </c>
      <c r="E5" s="18">
        <v>12334567000189</v>
      </c>
      <c r="F5" t="s">
        <v>252</v>
      </c>
      <c r="G5" t="s">
        <v>24</v>
      </c>
      <c r="H5">
        <v>48</v>
      </c>
      <c r="I5">
        <v>47.26</v>
      </c>
      <c r="J5">
        <v>0.74</v>
      </c>
      <c r="K5" t="s">
        <v>26</v>
      </c>
      <c r="L5" t="s">
        <v>20</v>
      </c>
      <c r="M5" t="s">
        <v>25</v>
      </c>
      <c r="N5" t="s">
        <v>21</v>
      </c>
      <c r="O5" t="s">
        <v>19</v>
      </c>
      <c r="P5">
        <v>1234</v>
      </c>
      <c r="Q5" t="s">
        <v>22</v>
      </c>
      <c r="R5" t="s">
        <v>253</v>
      </c>
      <c r="S5">
        <v>123456789</v>
      </c>
    </row>
    <row r="6" spans="1:19" x14ac:dyDescent="0.25">
      <c r="A6">
        <v>12345678</v>
      </c>
      <c r="B6" t="s">
        <v>161</v>
      </c>
      <c r="C6" t="s">
        <v>67</v>
      </c>
      <c r="D6">
        <v>123456</v>
      </c>
      <c r="E6" s="18">
        <v>12334567000189</v>
      </c>
      <c r="F6" t="s">
        <v>252</v>
      </c>
      <c r="G6" t="s">
        <v>24</v>
      </c>
      <c r="H6">
        <v>49.8</v>
      </c>
      <c r="I6">
        <v>49.03</v>
      </c>
      <c r="J6">
        <v>0.77</v>
      </c>
      <c r="K6" t="s">
        <v>26</v>
      </c>
      <c r="L6" t="s">
        <v>20</v>
      </c>
      <c r="M6" t="s">
        <v>27</v>
      </c>
      <c r="N6" t="s">
        <v>21</v>
      </c>
      <c r="O6" t="s">
        <v>19</v>
      </c>
      <c r="P6">
        <v>1234</v>
      </c>
      <c r="Q6" t="s">
        <v>22</v>
      </c>
      <c r="R6" t="s">
        <v>253</v>
      </c>
      <c r="S6">
        <v>123456789</v>
      </c>
    </row>
    <row r="7" spans="1:19" x14ac:dyDescent="0.25">
      <c r="A7">
        <v>12345678</v>
      </c>
      <c r="B7" t="s">
        <v>162</v>
      </c>
      <c r="C7" t="s">
        <v>68</v>
      </c>
      <c r="D7">
        <v>123456</v>
      </c>
      <c r="E7" s="18">
        <v>12334567000189</v>
      </c>
      <c r="F7" t="s">
        <v>252</v>
      </c>
      <c r="G7" t="s">
        <v>24</v>
      </c>
      <c r="H7">
        <v>99.2</v>
      </c>
      <c r="I7">
        <v>95.38</v>
      </c>
      <c r="J7">
        <v>3.82</v>
      </c>
      <c r="K7" t="s">
        <v>29</v>
      </c>
      <c r="L7" t="s">
        <v>20</v>
      </c>
      <c r="M7" t="s">
        <v>28</v>
      </c>
      <c r="N7" t="s">
        <v>21</v>
      </c>
      <c r="O7" t="s">
        <v>19</v>
      </c>
      <c r="P7">
        <v>1234</v>
      </c>
      <c r="Q7" t="s">
        <v>22</v>
      </c>
      <c r="R7" t="s">
        <v>253</v>
      </c>
      <c r="S7">
        <v>123456789</v>
      </c>
    </row>
    <row r="8" spans="1:19" x14ac:dyDescent="0.25">
      <c r="A8">
        <v>12345678</v>
      </c>
      <c r="B8" t="s">
        <v>163</v>
      </c>
      <c r="C8" t="s">
        <v>69</v>
      </c>
      <c r="D8">
        <v>123456</v>
      </c>
      <c r="E8" s="18">
        <v>12334567000189</v>
      </c>
      <c r="F8" t="s">
        <v>252</v>
      </c>
      <c r="G8" t="s">
        <v>24</v>
      </c>
      <c r="H8">
        <v>10</v>
      </c>
      <c r="I8">
        <v>9.61</v>
      </c>
      <c r="J8">
        <v>0.39</v>
      </c>
      <c r="K8" t="s">
        <v>29</v>
      </c>
      <c r="L8" t="s">
        <v>20</v>
      </c>
      <c r="M8" t="s">
        <v>30</v>
      </c>
      <c r="N8" t="s">
        <v>21</v>
      </c>
      <c r="O8" t="s">
        <v>19</v>
      </c>
      <c r="P8">
        <v>1234</v>
      </c>
      <c r="Q8" t="s">
        <v>22</v>
      </c>
      <c r="R8" t="s">
        <v>253</v>
      </c>
      <c r="S8">
        <v>123456789</v>
      </c>
    </row>
    <row r="9" spans="1:19" x14ac:dyDescent="0.25">
      <c r="A9">
        <v>12345678</v>
      </c>
      <c r="B9" t="s">
        <v>164</v>
      </c>
      <c r="C9" t="s">
        <v>70</v>
      </c>
      <c r="D9">
        <v>123456</v>
      </c>
      <c r="E9" s="18">
        <v>12334567000189</v>
      </c>
      <c r="F9" t="s">
        <v>252</v>
      </c>
      <c r="G9" t="s">
        <v>24</v>
      </c>
      <c r="H9">
        <v>10</v>
      </c>
      <c r="I9">
        <v>9.84</v>
      </c>
      <c r="J9">
        <v>0.16</v>
      </c>
      <c r="K9" t="s">
        <v>26</v>
      </c>
      <c r="L9" t="s">
        <v>20</v>
      </c>
      <c r="M9" t="s">
        <v>25</v>
      </c>
      <c r="N9" t="s">
        <v>21</v>
      </c>
      <c r="O9" t="s">
        <v>19</v>
      </c>
      <c r="P9">
        <v>1234</v>
      </c>
      <c r="Q9" t="s">
        <v>22</v>
      </c>
      <c r="R9" t="s">
        <v>253</v>
      </c>
      <c r="S9">
        <v>123456789</v>
      </c>
    </row>
    <row r="10" spans="1:19" x14ac:dyDescent="0.25">
      <c r="A10">
        <v>12345678</v>
      </c>
      <c r="B10" t="s">
        <v>165</v>
      </c>
      <c r="C10" t="s">
        <v>71</v>
      </c>
      <c r="D10">
        <v>123456</v>
      </c>
      <c r="E10" s="18">
        <v>12334567000189</v>
      </c>
      <c r="F10" t="s">
        <v>252</v>
      </c>
      <c r="G10" t="s">
        <v>24</v>
      </c>
      <c r="H10">
        <v>72.599999999999994</v>
      </c>
      <c r="I10">
        <v>69.81</v>
      </c>
      <c r="J10">
        <v>2.79</v>
      </c>
      <c r="K10" t="s">
        <v>29</v>
      </c>
      <c r="L10" t="s">
        <v>20</v>
      </c>
      <c r="M10" t="s">
        <v>27</v>
      </c>
      <c r="N10" t="s">
        <v>21</v>
      </c>
      <c r="O10" t="s">
        <v>19</v>
      </c>
      <c r="P10">
        <v>1234</v>
      </c>
      <c r="Q10" t="s">
        <v>22</v>
      </c>
      <c r="R10" t="s">
        <v>253</v>
      </c>
      <c r="S10">
        <v>123456789</v>
      </c>
    </row>
    <row r="11" spans="1:19" x14ac:dyDescent="0.25">
      <c r="A11">
        <v>12345678</v>
      </c>
      <c r="B11" t="s">
        <v>166</v>
      </c>
      <c r="C11" t="s">
        <v>72</v>
      </c>
      <c r="D11">
        <v>123456</v>
      </c>
      <c r="E11" s="18">
        <v>12334567000189</v>
      </c>
      <c r="F11" t="s">
        <v>252</v>
      </c>
      <c r="G11" t="s">
        <v>24</v>
      </c>
      <c r="H11">
        <v>10</v>
      </c>
      <c r="I11">
        <v>9.84</v>
      </c>
      <c r="J11">
        <v>0.16</v>
      </c>
      <c r="K11" t="s">
        <v>26</v>
      </c>
      <c r="L11" t="s">
        <v>20</v>
      </c>
      <c r="M11" t="s">
        <v>28</v>
      </c>
      <c r="N11" t="s">
        <v>21</v>
      </c>
      <c r="O11" t="s">
        <v>19</v>
      </c>
      <c r="P11">
        <v>1234</v>
      </c>
      <c r="Q11" t="s">
        <v>22</v>
      </c>
      <c r="R11" t="s">
        <v>253</v>
      </c>
      <c r="S11">
        <v>123456789</v>
      </c>
    </row>
    <row r="12" spans="1:19" x14ac:dyDescent="0.25">
      <c r="A12">
        <v>12345678</v>
      </c>
      <c r="B12" t="s">
        <v>167</v>
      </c>
      <c r="C12" t="s">
        <v>73</v>
      </c>
      <c r="D12">
        <v>123456</v>
      </c>
      <c r="E12" s="18">
        <v>12334567000189</v>
      </c>
      <c r="F12" t="s">
        <v>252</v>
      </c>
      <c r="G12" t="s">
        <v>24</v>
      </c>
      <c r="H12">
        <v>183.35</v>
      </c>
      <c r="I12">
        <v>176.29</v>
      </c>
      <c r="J12">
        <v>7.06</v>
      </c>
      <c r="K12" t="s">
        <v>29</v>
      </c>
      <c r="L12" t="s">
        <v>20</v>
      </c>
      <c r="M12" t="s">
        <v>30</v>
      </c>
      <c r="N12" t="s">
        <v>21</v>
      </c>
      <c r="O12" t="s">
        <v>19</v>
      </c>
      <c r="P12">
        <v>1234</v>
      </c>
      <c r="Q12" t="s">
        <v>22</v>
      </c>
      <c r="R12" t="s">
        <v>253</v>
      </c>
      <c r="S12">
        <v>123456789</v>
      </c>
    </row>
    <row r="13" spans="1:19" x14ac:dyDescent="0.25">
      <c r="A13">
        <v>12345678</v>
      </c>
      <c r="B13" t="s">
        <v>168</v>
      </c>
      <c r="C13" t="s">
        <v>74</v>
      </c>
      <c r="D13">
        <v>123456</v>
      </c>
      <c r="E13" s="18">
        <v>12334567000189</v>
      </c>
      <c r="F13" t="s">
        <v>252</v>
      </c>
      <c r="G13" t="s">
        <v>24</v>
      </c>
      <c r="H13">
        <v>72.25</v>
      </c>
      <c r="I13">
        <v>71.13</v>
      </c>
      <c r="J13">
        <v>1.1200000000000001</v>
      </c>
      <c r="K13" t="s">
        <v>26</v>
      </c>
      <c r="L13" t="s">
        <v>20</v>
      </c>
      <c r="M13" t="s">
        <v>25</v>
      </c>
      <c r="N13" t="s">
        <v>21</v>
      </c>
      <c r="O13" t="s">
        <v>19</v>
      </c>
      <c r="P13">
        <v>1234</v>
      </c>
      <c r="Q13" t="s">
        <v>22</v>
      </c>
      <c r="R13" t="s">
        <v>253</v>
      </c>
      <c r="S13">
        <v>123456789</v>
      </c>
    </row>
    <row r="14" spans="1:19" x14ac:dyDescent="0.25">
      <c r="A14">
        <v>12345678</v>
      </c>
      <c r="B14" t="s">
        <v>169</v>
      </c>
      <c r="C14" t="s">
        <v>75</v>
      </c>
      <c r="D14">
        <v>123456</v>
      </c>
      <c r="E14" s="18">
        <v>12334567000189</v>
      </c>
      <c r="F14" t="s">
        <v>252</v>
      </c>
      <c r="G14" t="s">
        <v>24</v>
      </c>
      <c r="H14">
        <v>82.7</v>
      </c>
      <c r="I14">
        <v>81.42</v>
      </c>
      <c r="J14">
        <v>1.28</v>
      </c>
      <c r="K14" t="s">
        <v>26</v>
      </c>
      <c r="L14" t="s">
        <v>20</v>
      </c>
      <c r="M14" t="s">
        <v>27</v>
      </c>
      <c r="N14" t="s">
        <v>21</v>
      </c>
      <c r="O14" t="s">
        <v>19</v>
      </c>
      <c r="P14">
        <v>1234</v>
      </c>
      <c r="Q14" t="s">
        <v>22</v>
      </c>
      <c r="R14" t="s">
        <v>253</v>
      </c>
      <c r="S14">
        <v>123456789</v>
      </c>
    </row>
    <row r="15" spans="1:19" x14ac:dyDescent="0.25">
      <c r="A15">
        <v>12345678</v>
      </c>
      <c r="B15" t="s">
        <v>170</v>
      </c>
      <c r="C15" t="s">
        <v>76</v>
      </c>
      <c r="D15">
        <v>123456</v>
      </c>
      <c r="E15" s="18">
        <v>12334567000189</v>
      </c>
      <c r="F15" t="s">
        <v>252</v>
      </c>
      <c r="G15" t="s">
        <v>24</v>
      </c>
      <c r="H15">
        <v>121.1</v>
      </c>
      <c r="I15">
        <v>115.22</v>
      </c>
      <c r="J15">
        <v>5.88</v>
      </c>
      <c r="K15" t="s">
        <v>29</v>
      </c>
      <c r="L15" t="s">
        <v>20</v>
      </c>
      <c r="M15" t="s">
        <v>28</v>
      </c>
      <c r="N15" t="s">
        <v>21</v>
      </c>
      <c r="O15" t="s">
        <v>19</v>
      </c>
      <c r="P15">
        <v>1234</v>
      </c>
      <c r="Q15" t="s">
        <v>22</v>
      </c>
      <c r="R15" t="s">
        <v>253</v>
      </c>
      <c r="S15">
        <v>123456789</v>
      </c>
    </row>
    <row r="16" spans="1:19" x14ac:dyDescent="0.25">
      <c r="A16">
        <v>12345678</v>
      </c>
      <c r="B16" t="s">
        <v>171</v>
      </c>
      <c r="C16" t="s">
        <v>77</v>
      </c>
      <c r="D16">
        <v>123456</v>
      </c>
      <c r="E16" s="18">
        <v>12334567000189</v>
      </c>
      <c r="F16" t="s">
        <v>252</v>
      </c>
      <c r="G16" t="s">
        <v>24</v>
      </c>
      <c r="H16">
        <v>110.1</v>
      </c>
      <c r="I16">
        <v>105.86</v>
      </c>
      <c r="J16">
        <v>4.24</v>
      </c>
      <c r="K16" t="s">
        <v>29</v>
      </c>
      <c r="L16" t="s">
        <v>20</v>
      </c>
      <c r="M16" t="s">
        <v>30</v>
      </c>
      <c r="N16" t="s">
        <v>21</v>
      </c>
      <c r="O16" t="s">
        <v>19</v>
      </c>
      <c r="P16">
        <v>1234</v>
      </c>
      <c r="Q16" t="s">
        <v>22</v>
      </c>
      <c r="R16" t="s">
        <v>253</v>
      </c>
      <c r="S16">
        <v>123456789</v>
      </c>
    </row>
    <row r="17" spans="1:19" x14ac:dyDescent="0.25">
      <c r="A17">
        <v>12345678</v>
      </c>
      <c r="B17" t="s">
        <v>172</v>
      </c>
      <c r="C17" t="s">
        <v>78</v>
      </c>
      <c r="D17">
        <v>123456</v>
      </c>
      <c r="E17" s="18">
        <v>12334567000189</v>
      </c>
      <c r="F17" t="s">
        <v>252</v>
      </c>
      <c r="G17" t="s">
        <v>24</v>
      </c>
      <c r="H17">
        <v>30.45</v>
      </c>
      <c r="I17">
        <v>29.98</v>
      </c>
      <c r="J17">
        <v>0.47</v>
      </c>
      <c r="K17" t="s">
        <v>26</v>
      </c>
      <c r="L17" t="s">
        <v>20</v>
      </c>
      <c r="M17" t="s">
        <v>25</v>
      </c>
      <c r="N17" t="s">
        <v>21</v>
      </c>
      <c r="O17" t="s">
        <v>19</v>
      </c>
      <c r="P17">
        <v>1234</v>
      </c>
      <c r="Q17" t="s">
        <v>22</v>
      </c>
      <c r="R17" t="s">
        <v>253</v>
      </c>
      <c r="S17">
        <v>123456789</v>
      </c>
    </row>
    <row r="18" spans="1:19" x14ac:dyDescent="0.25">
      <c r="A18">
        <v>12345678</v>
      </c>
      <c r="B18" t="s">
        <v>173</v>
      </c>
      <c r="C18" t="s">
        <v>79</v>
      </c>
      <c r="D18">
        <v>123456</v>
      </c>
      <c r="E18" s="18">
        <v>12334567000189</v>
      </c>
      <c r="F18" t="s">
        <v>252</v>
      </c>
      <c r="G18" t="s">
        <v>24</v>
      </c>
      <c r="H18">
        <v>40</v>
      </c>
      <c r="I18">
        <v>39.380000000000003</v>
      </c>
      <c r="J18">
        <v>0.62</v>
      </c>
      <c r="K18" t="s">
        <v>26</v>
      </c>
      <c r="L18" t="s">
        <v>20</v>
      </c>
      <c r="M18" t="s">
        <v>27</v>
      </c>
      <c r="N18" t="s">
        <v>21</v>
      </c>
      <c r="O18" t="s">
        <v>19</v>
      </c>
      <c r="P18">
        <v>1234</v>
      </c>
      <c r="Q18" t="s">
        <v>22</v>
      </c>
      <c r="R18" t="s">
        <v>253</v>
      </c>
      <c r="S18">
        <v>123456789</v>
      </c>
    </row>
    <row r="19" spans="1:19" x14ac:dyDescent="0.25">
      <c r="A19">
        <v>12345678</v>
      </c>
      <c r="B19" t="s">
        <v>174</v>
      </c>
      <c r="C19" t="s">
        <v>80</v>
      </c>
      <c r="D19">
        <v>123456</v>
      </c>
      <c r="E19" s="18">
        <v>12334567000189</v>
      </c>
      <c r="F19" t="s">
        <v>252</v>
      </c>
      <c r="G19" t="s">
        <v>24</v>
      </c>
      <c r="H19">
        <v>40.9</v>
      </c>
      <c r="I19">
        <v>40.26</v>
      </c>
      <c r="J19">
        <v>0.64</v>
      </c>
      <c r="K19" t="s">
        <v>26</v>
      </c>
      <c r="L19" t="s">
        <v>20</v>
      </c>
      <c r="M19" t="s">
        <v>28</v>
      </c>
      <c r="N19" t="s">
        <v>21</v>
      </c>
      <c r="O19" t="s">
        <v>19</v>
      </c>
      <c r="P19">
        <v>1234</v>
      </c>
      <c r="Q19" t="s">
        <v>22</v>
      </c>
      <c r="R19" t="s">
        <v>253</v>
      </c>
      <c r="S19">
        <v>123456789</v>
      </c>
    </row>
    <row r="20" spans="1:19" x14ac:dyDescent="0.25">
      <c r="A20">
        <v>12345678</v>
      </c>
      <c r="B20" t="s">
        <v>175</v>
      </c>
      <c r="C20" t="s">
        <v>81</v>
      </c>
      <c r="D20">
        <v>123456</v>
      </c>
      <c r="E20" s="18">
        <v>12334567000189</v>
      </c>
      <c r="F20" t="s">
        <v>252</v>
      </c>
      <c r="G20" t="s">
        <v>24</v>
      </c>
      <c r="H20">
        <v>1189.6400000000001</v>
      </c>
      <c r="I20">
        <v>1143.8399999999999</v>
      </c>
      <c r="J20">
        <v>45.8</v>
      </c>
      <c r="K20" t="s">
        <v>29</v>
      </c>
      <c r="L20" t="s">
        <v>20</v>
      </c>
      <c r="M20" t="s">
        <v>30</v>
      </c>
      <c r="N20" t="s">
        <v>21</v>
      </c>
      <c r="O20" t="s">
        <v>19</v>
      </c>
      <c r="P20">
        <v>1234</v>
      </c>
      <c r="Q20" t="s">
        <v>22</v>
      </c>
      <c r="R20" t="s">
        <v>253</v>
      </c>
      <c r="S20">
        <v>123456789</v>
      </c>
    </row>
    <row r="21" spans="1:19" x14ac:dyDescent="0.25">
      <c r="A21">
        <v>12345678</v>
      </c>
      <c r="B21" t="s">
        <v>176</v>
      </c>
      <c r="C21" t="s">
        <v>82</v>
      </c>
      <c r="D21">
        <v>123456</v>
      </c>
      <c r="E21" s="18">
        <v>12334567000189</v>
      </c>
      <c r="F21" t="s">
        <v>252</v>
      </c>
      <c r="G21" t="s">
        <v>24</v>
      </c>
      <c r="H21">
        <v>40.9</v>
      </c>
      <c r="I21">
        <v>40.26</v>
      </c>
      <c r="J21">
        <v>0.64</v>
      </c>
      <c r="K21" t="s">
        <v>26</v>
      </c>
      <c r="L21" t="s">
        <v>20</v>
      </c>
      <c r="M21" t="s">
        <v>25</v>
      </c>
      <c r="N21" t="s">
        <v>21</v>
      </c>
      <c r="O21" t="s">
        <v>19</v>
      </c>
      <c r="P21">
        <v>1234</v>
      </c>
      <c r="Q21" t="s">
        <v>22</v>
      </c>
      <c r="R21" t="s">
        <v>253</v>
      </c>
      <c r="S21">
        <v>123456789</v>
      </c>
    </row>
    <row r="22" spans="1:19" x14ac:dyDescent="0.25">
      <c r="A22">
        <v>12345678</v>
      </c>
      <c r="B22" t="s">
        <v>177</v>
      </c>
      <c r="C22" t="s">
        <v>83</v>
      </c>
      <c r="D22">
        <v>123456</v>
      </c>
      <c r="E22" s="18">
        <v>12334567000189</v>
      </c>
      <c r="F22" t="s">
        <v>252</v>
      </c>
      <c r="G22" t="s">
        <v>24</v>
      </c>
      <c r="H22">
        <v>159.37</v>
      </c>
      <c r="I22">
        <v>157.16</v>
      </c>
      <c r="J22">
        <v>2.21</v>
      </c>
      <c r="K22" t="s">
        <v>23</v>
      </c>
      <c r="L22" t="s">
        <v>20</v>
      </c>
      <c r="M22" t="s">
        <v>27</v>
      </c>
      <c r="N22" t="s">
        <v>21</v>
      </c>
      <c r="O22" t="s">
        <v>19</v>
      </c>
      <c r="P22">
        <v>1234</v>
      </c>
      <c r="Q22" t="s">
        <v>22</v>
      </c>
      <c r="R22" t="s">
        <v>253</v>
      </c>
      <c r="S22">
        <v>123456789</v>
      </c>
    </row>
    <row r="23" spans="1:19" x14ac:dyDescent="0.25">
      <c r="A23">
        <v>12345678</v>
      </c>
      <c r="B23" t="s">
        <v>178</v>
      </c>
      <c r="C23" t="s">
        <v>84</v>
      </c>
      <c r="D23">
        <v>123456</v>
      </c>
      <c r="E23" s="18">
        <v>12334567000189</v>
      </c>
      <c r="F23" t="s">
        <v>252</v>
      </c>
      <c r="G23" t="s">
        <v>24</v>
      </c>
      <c r="H23">
        <v>46.4</v>
      </c>
      <c r="I23">
        <v>45.76</v>
      </c>
      <c r="J23">
        <v>0.64</v>
      </c>
      <c r="K23" t="s">
        <v>23</v>
      </c>
      <c r="L23" t="s">
        <v>20</v>
      </c>
      <c r="M23" t="s">
        <v>28</v>
      </c>
      <c r="N23" t="s">
        <v>21</v>
      </c>
      <c r="O23" t="s">
        <v>19</v>
      </c>
      <c r="P23">
        <v>1234</v>
      </c>
      <c r="Q23" t="s">
        <v>22</v>
      </c>
      <c r="R23" t="s">
        <v>253</v>
      </c>
      <c r="S23">
        <v>123456789</v>
      </c>
    </row>
    <row r="24" spans="1:19" x14ac:dyDescent="0.25">
      <c r="A24">
        <v>12345678</v>
      </c>
      <c r="B24" t="s">
        <v>179</v>
      </c>
      <c r="C24" t="s">
        <v>85</v>
      </c>
      <c r="D24">
        <v>123456</v>
      </c>
      <c r="E24" s="18">
        <v>12334567000189</v>
      </c>
      <c r="F24" t="s">
        <v>252</v>
      </c>
      <c r="G24" t="s">
        <v>24</v>
      </c>
      <c r="H24">
        <v>120.65</v>
      </c>
      <c r="I24">
        <v>118.78</v>
      </c>
      <c r="J24">
        <v>1.87</v>
      </c>
      <c r="K24" t="s">
        <v>26</v>
      </c>
      <c r="L24" t="s">
        <v>20</v>
      </c>
      <c r="M24" t="s">
        <v>30</v>
      </c>
      <c r="N24" t="s">
        <v>21</v>
      </c>
      <c r="O24" t="s">
        <v>19</v>
      </c>
      <c r="P24">
        <v>1234</v>
      </c>
      <c r="Q24" t="s">
        <v>22</v>
      </c>
      <c r="R24" t="s">
        <v>253</v>
      </c>
      <c r="S24">
        <v>123456789</v>
      </c>
    </row>
    <row r="25" spans="1:19" x14ac:dyDescent="0.25">
      <c r="A25">
        <v>12345678</v>
      </c>
      <c r="B25" t="s">
        <v>180</v>
      </c>
      <c r="C25" t="s">
        <v>86</v>
      </c>
      <c r="D25">
        <v>123456</v>
      </c>
      <c r="E25" s="18">
        <v>12334567000189</v>
      </c>
      <c r="F25" t="s">
        <v>252</v>
      </c>
      <c r="G25" t="s">
        <v>24</v>
      </c>
      <c r="H25">
        <v>30.45</v>
      </c>
      <c r="I25">
        <v>30.03</v>
      </c>
      <c r="J25">
        <v>0.42</v>
      </c>
      <c r="K25" t="s">
        <v>23</v>
      </c>
      <c r="L25" t="s">
        <v>20</v>
      </c>
      <c r="M25" t="s">
        <v>25</v>
      </c>
      <c r="N25" t="s">
        <v>21</v>
      </c>
      <c r="O25" t="s">
        <v>19</v>
      </c>
      <c r="P25">
        <v>1234</v>
      </c>
      <c r="Q25" t="s">
        <v>22</v>
      </c>
      <c r="R25" t="s">
        <v>253</v>
      </c>
      <c r="S25">
        <v>123456789</v>
      </c>
    </row>
    <row r="26" spans="1:19" x14ac:dyDescent="0.25">
      <c r="A26">
        <v>12345678</v>
      </c>
      <c r="B26" t="s">
        <v>181</v>
      </c>
      <c r="C26" t="s">
        <v>87</v>
      </c>
      <c r="D26">
        <v>123456</v>
      </c>
      <c r="E26" s="18">
        <v>12334567000189</v>
      </c>
      <c r="F26" t="s">
        <v>252</v>
      </c>
      <c r="G26" t="s">
        <v>24</v>
      </c>
      <c r="H26">
        <v>246.8</v>
      </c>
      <c r="I26">
        <v>237.3</v>
      </c>
      <c r="J26">
        <v>9.5</v>
      </c>
      <c r="K26" t="s">
        <v>29</v>
      </c>
      <c r="L26" t="s">
        <v>20</v>
      </c>
      <c r="M26" t="s">
        <v>27</v>
      </c>
      <c r="N26" t="s">
        <v>21</v>
      </c>
      <c r="O26" t="s">
        <v>19</v>
      </c>
      <c r="P26">
        <v>1234</v>
      </c>
      <c r="Q26" t="s">
        <v>22</v>
      </c>
      <c r="R26" t="s">
        <v>253</v>
      </c>
      <c r="S26">
        <v>123456789</v>
      </c>
    </row>
    <row r="27" spans="1:19" x14ac:dyDescent="0.25">
      <c r="A27">
        <v>12345678</v>
      </c>
      <c r="B27" t="s">
        <v>182</v>
      </c>
      <c r="C27" t="s">
        <v>88</v>
      </c>
      <c r="D27">
        <v>123456</v>
      </c>
      <c r="E27" s="18">
        <v>12334567000189</v>
      </c>
      <c r="F27" t="s">
        <v>252</v>
      </c>
      <c r="G27" t="s">
        <v>24</v>
      </c>
      <c r="H27">
        <v>82.37</v>
      </c>
      <c r="I27">
        <v>81.09</v>
      </c>
      <c r="J27">
        <v>1.28</v>
      </c>
      <c r="K27" t="s">
        <v>26</v>
      </c>
      <c r="L27" t="s">
        <v>20</v>
      </c>
      <c r="M27" t="s">
        <v>28</v>
      </c>
      <c r="N27" t="s">
        <v>21</v>
      </c>
      <c r="O27" t="s">
        <v>19</v>
      </c>
      <c r="P27">
        <v>1234</v>
      </c>
      <c r="Q27" t="s">
        <v>22</v>
      </c>
      <c r="R27" t="s">
        <v>253</v>
      </c>
      <c r="S27">
        <v>123456789</v>
      </c>
    </row>
    <row r="28" spans="1:19" x14ac:dyDescent="0.25">
      <c r="A28">
        <v>12345678</v>
      </c>
      <c r="B28" t="s">
        <v>183</v>
      </c>
      <c r="C28" t="s">
        <v>89</v>
      </c>
      <c r="D28">
        <v>123456</v>
      </c>
      <c r="E28" s="18">
        <v>12334567000189</v>
      </c>
      <c r="F28" t="s">
        <v>252</v>
      </c>
      <c r="G28" t="s">
        <v>24</v>
      </c>
      <c r="H28">
        <v>191.45</v>
      </c>
      <c r="I28">
        <v>188.79</v>
      </c>
      <c r="J28">
        <v>2.66</v>
      </c>
      <c r="K28" t="s">
        <v>23</v>
      </c>
      <c r="L28" t="s">
        <v>20</v>
      </c>
      <c r="M28" t="s">
        <v>30</v>
      </c>
      <c r="N28" t="s">
        <v>21</v>
      </c>
      <c r="O28" t="s">
        <v>19</v>
      </c>
      <c r="P28">
        <v>1234</v>
      </c>
      <c r="Q28" t="s">
        <v>22</v>
      </c>
      <c r="R28" t="s">
        <v>253</v>
      </c>
      <c r="S28">
        <v>123456789</v>
      </c>
    </row>
    <row r="29" spans="1:19" x14ac:dyDescent="0.25">
      <c r="A29">
        <v>12345678</v>
      </c>
      <c r="B29" t="s">
        <v>184</v>
      </c>
      <c r="C29" t="s">
        <v>90</v>
      </c>
      <c r="D29">
        <v>123456</v>
      </c>
      <c r="E29" s="18">
        <v>12334567000189</v>
      </c>
      <c r="F29" t="s">
        <v>252</v>
      </c>
      <c r="G29" t="s">
        <v>24</v>
      </c>
      <c r="H29">
        <v>69.83</v>
      </c>
      <c r="I29">
        <v>68.75</v>
      </c>
      <c r="J29">
        <v>1.08</v>
      </c>
      <c r="K29" t="s">
        <v>26</v>
      </c>
      <c r="L29" t="s">
        <v>20</v>
      </c>
      <c r="M29" t="s">
        <v>25</v>
      </c>
      <c r="N29" t="s">
        <v>21</v>
      </c>
      <c r="O29" t="s">
        <v>19</v>
      </c>
      <c r="P29">
        <v>1234</v>
      </c>
      <c r="Q29" t="s">
        <v>22</v>
      </c>
      <c r="R29" t="s">
        <v>253</v>
      </c>
      <c r="S29">
        <v>123456789</v>
      </c>
    </row>
    <row r="30" spans="1:19" x14ac:dyDescent="0.25">
      <c r="A30">
        <v>12345678</v>
      </c>
      <c r="B30" t="s">
        <v>185</v>
      </c>
      <c r="C30" t="s">
        <v>91</v>
      </c>
      <c r="D30">
        <v>123456</v>
      </c>
      <c r="E30" s="18">
        <v>12334567000189</v>
      </c>
      <c r="F30" t="s">
        <v>252</v>
      </c>
      <c r="G30" t="s">
        <v>24</v>
      </c>
      <c r="H30">
        <v>159.02000000000001</v>
      </c>
      <c r="I30">
        <v>152.9</v>
      </c>
      <c r="J30">
        <v>6.12</v>
      </c>
      <c r="K30" t="s">
        <v>29</v>
      </c>
      <c r="L30" t="s">
        <v>20</v>
      </c>
      <c r="M30" t="s">
        <v>27</v>
      </c>
      <c r="N30" t="s">
        <v>21</v>
      </c>
      <c r="O30" t="s">
        <v>19</v>
      </c>
      <c r="P30">
        <v>1234</v>
      </c>
      <c r="Q30" t="s">
        <v>22</v>
      </c>
      <c r="R30" t="s">
        <v>253</v>
      </c>
      <c r="S30">
        <v>123456789</v>
      </c>
    </row>
    <row r="31" spans="1:19" x14ac:dyDescent="0.25">
      <c r="A31">
        <v>12345678</v>
      </c>
      <c r="B31" t="s">
        <v>186</v>
      </c>
      <c r="C31" t="s">
        <v>92</v>
      </c>
      <c r="D31">
        <v>123456</v>
      </c>
      <c r="E31" s="18">
        <v>12334567000189</v>
      </c>
      <c r="F31" t="s">
        <v>252</v>
      </c>
      <c r="G31" t="s">
        <v>24</v>
      </c>
      <c r="H31">
        <v>84.55</v>
      </c>
      <c r="I31">
        <v>83.24</v>
      </c>
      <c r="J31">
        <v>1.31</v>
      </c>
      <c r="K31" t="s">
        <v>26</v>
      </c>
      <c r="L31" t="s">
        <v>20</v>
      </c>
      <c r="M31" t="s">
        <v>28</v>
      </c>
      <c r="N31" t="s">
        <v>21</v>
      </c>
      <c r="O31" t="s">
        <v>19</v>
      </c>
      <c r="P31">
        <v>1234</v>
      </c>
      <c r="Q31" t="s">
        <v>22</v>
      </c>
      <c r="R31" t="s">
        <v>253</v>
      </c>
      <c r="S31">
        <v>123456789</v>
      </c>
    </row>
    <row r="32" spans="1:19" x14ac:dyDescent="0.25">
      <c r="A32">
        <v>12345678</v>
      </c>
      <c r="B32" t="s">
        <v>187</v>
      </c>
      <c r="C32" t="s">
        <v>93</v>
      </c>
      <c r="D32">
        <v>123456</v>
      </c>
      <c r="E32" s="18">
        <v>12334567000189</v>
      </c>
      <c r="F32" t="s">
        <v>252</v>
      </c>
      <c r="G32" t="s">
        <v>24</v>
      </c>
      <c r="H32">
        <v>46.4</v>
      </c>
      <c r="I32">
        <v>45.68</v>
      </c>
      <c r="J32">
        <v>0.72</v>
      </c>
      <c r="K32" t="s">
        <v>26</v>
      </c>
      <c r="L32" t="s">
        <v>20</v>
      </c>
      <c r="M32" t="s">
        <v>30</v>
      </c>
      <c r="N32" t="s">
        <v>21</v>
      </c>
      <c r="O32" t="s">
        <v>19</v>
      </c>
      <c r="P32">
        <v>1234</v>
      </c>
      <c r="Q32" t="s">
        <v>22</v>
      </c>
      <c r="R32" t="s">
        <v>253</v>
      </c>
      <c r="S32">
        <v>123456789</v>
      </c>
    </row>
    <row r="33" spans="1:19" x14ac:dyDescent="0.25">
      <c r="A33">
        <v>12345678</v>
      </c>
      <c r="B33" t="s">
        <v>188</v>
      </c>
      <c r="C33" t="s">
        <v>94</v>
      </c>
      <c r="D33">
        <v>123456</v>
      </c>
      <c r="E33" s="18">
        <v>12334567000189</v>
      </c>
      <c r="F33" t="s">
        <v>252</v>
      </c>
      <c r="G33" t="s">
        <v>24</v>
      </c>
      <c r="H33">
        <v>67.88</v>
      </c>
      <c r="I33">
        <v>66.83</v>
      </c>
      <c r="J33">
        <v>1.05</v>
      </c>
      <c r="K33" t="s">
        <v>26</v>
      </c>
      <c r="L33" t="s">
        <v>20</v>
      </c>
      <c r="M33" t="s">
        <v>25</v>
      </c>
      <c r="N33" t="s">
        <v>21</v>
      </c>
      <c r="O33" t="s">
        <v>19</v>
      </c>
      <c r="P33">
        <v>1234</v>
      </c>
      <c r="Q33" t="s">
        <v>22</v>
      </c>
      <c r="R33" t="s">
        <v>253</v>
      </c>
      <c r="S33">
        <v>123456789</v>
      </c>
    </row>
    <row r="34" spans="1:19" x14ac:dyDescent="0.25">
      <c r="A34">
        <v>12345678</v>
      </c>
      <c r="B34" t="s">
        <v>189</v>
      </c>
      <c r="C34" t="s">
        <v>95</v>
      </c>
      <c r="D34">
        <v>123456</v>
      </c>
      <c r="E34" s="18">
        <v>12334567000189</v>
      </c>
      <c r="F34" t="s">
        <v>252</v>
      </c>
      <c r="G34" t="s">
        <v>24</v>
      </c>
      <c r="H34">
        <v>36.07</v>
      </c>
      <c r="I34">
        <v>34.68</v>
      </c>
      <c r="J34">
        <v>1.39</v>
      </c>
      <c r="K34" t="s">
        <v>29</v>
      </c>
      <c r="L34" t="s">
        <v>20</v>
      </c>
      <c r="M34" t="s">
        <v>27</v>
      </c>
      <c r="N34" t="s">
        <v>21</v>
      </c>
      <c r="O34" t="s">
        <v>19</v>
      </c>
      <c r="P34">
        <v>1234</v>
      </c>
      <c r="Q34" t="s">
        <v>22</v>
      </c>
      <c r="R34" t="s">
        <v>253</v>
      </c>
      <c r="S34">
        <v>123456789</v>
      </c>
    </row>
    <row r="35" spans="1:19" x14ac:dyDescent="0.25">
      <c r="A35">
        <v>12345678</v>
      </c>
      <c r="B35" t="s">
        <v>190</v>
      </c>
      <c r="C35" t="s">
        <v>96</v>
      </c>
      <c r="D35">
        <v>123456</v>
      </c>
      <c r="E35" s="18">
        <v>12334567000189</v>
      </c>
      <c r="F35" t="s">
        <v>252</v>
      </c>
      <c r="G35" t="s">
        <v>24</v>
      </c>
      <c r="H35">
        <v>109.87</v>
      </c>
      <c r="I35">
        <v>108.34</v>
      </c>
      <c r="J35">
        <v>1.53</v>
      </c>
      <c r="K35" t="s">
        <v>23</v>
      </c>
      <c r="L35" t="s">
        <v>20</v>
      </c>
      <c r="M35" t="s">
        <v>28</v>
      </c>
      <c r="N35" t="s">
        <v>21</v>
      </c>
      <c r="O35" t="s">
        <v>19</v>
      </c>
      <c r="P35">
        <v>1234</v>
      </c>
      <c r="Q35" t="s">
        <v>22</v>
      </c>
      <c r="R35" t="s">
        <v>253</v>
      </c>
      <c r="S35">
        <v>123456789</v>
      </c>
    </row>
    <row r="36" spans="1:19" x14ac:dyDescent="0.25">
      <c r="A36">
        <v>12345678</v>
      </c>
      <c r="B36" t="s">
        <v>191</v>
      </c>
      <c r="C36" t="s">
        <v>97</v>
      </c>
      <c r="D36">
        <v>123456</v>
      </c>
      <c r="E36" s="18">
        <v>12334567000189</v>
      </c>
      <c r="F36" t="s">
        <v>252</v>
      </c>
      <c r="G36" t="s">
        <v>24</v>
      </c>
      <c r="H36">
        <v>109.87</v>
      </c>
      <c r="I36">
        <v>108.17</v>
      </c>
      <c r="J36">
        <v>1.7</v>
      </c>
      <c r="K36" t="s">
        <v>26</v>
      </c>
      <c r="L36" t="s">
        <v>20</v>
      </c>
      <c r="M36" t="s">
        <v>30</v>
      </c>
      <c r="N36" t="s">
        <v>21</v>
      </c>
      <c r="O36" t="s">
        <v>19</v>
      </c>
      <c r="P36">
        <v>1234</v>
      </c>
      <c r="Q36" t="s">
        <v>22</v>
      </c>
      <c r="R36" t="s">
        <v>253</v>
      </c>
      <c r="S36">
        <v>123456789</v>
      </c>
    </row>
    <row r="37" spans="1:19" x14ac:dyDescent="0.25">
      <c r="A37">
        <v>12345678</v>
      </c>
      <c r="B37" t="s">
        <v>192</v>
      </c>
      <c r="C37" t="s">
        <v>98</v>
      </c>
      <c r="D37">
        <v>123456</v>
      </c>
      <c r="E37" s="18">
        <v>12334567000189</v>
      </c>
      <c r="F37" t="s">
        <v>252</v>
      </c>
      <c r="G37" t="s">
        <v>24</v>
      </c>
      <c r="H37">
        <v>162</v>
      </c>
      <c r="I37">
        <v>155.76</v>
      </c>
      <c r="J37">
        <v>6.24</v>
      </c>
      <c r="K37" t="s">
        <v>29</v>
      </c>
      <c r="L37" t="s">
        <v>20</v>
      </c>
      <c r="M37" t="s">
        <v>25</v>
      </c>
      <c r="N37" t="s">
        <v>21</v>
      </c>
      <c r="O37" t="s">
        <v>19</v>
      </c>
      <c r="P37">
        <v>1234</v>
      </c>
      <c r="Q37" t="s">
        <v>22</v>
      </c>
      <c r="R37" t="s">
        <v>253</v>
      </c>
      <c r="S37">
        <v>123456789</v>
      </c>
    </row>
    <row r="38" spans="1:19" x14ac:dyDescent="0.25">
      <c r="A38">
        <v>12345678</v>
      </c>
      <c r="B38" t="s">
        <v>193</v>
      </c>
      <c r="C38" t="s">
        <v>99</v>
      </c>
      <c r="D38">
        <v>123456</v>
      </c>
      <c r="E38" s="18">
        <v>12334567000189</v>
      </c>
      <c r="F38" t="s">
        <v>252</v>
      </c>
      <c r="G38" t="s">
        <v>24</v>
      </c>
      <c r="H38">
        <v>82.3</v>
      </c>
      <c r="I38">
        <v>81.03</v>
      </c>
      <c r="J38">
        <v>1.27</v>
      </c>
      <c r="K38" t="s">
        <v>26</v>
      </c>
      <c r="L38" t="s">
        <v>20</v>
      </c>
      <c r="M38" t="s">
        <v>27</v>
      </c>
      <c r="N38" t="s">
        <v>21</v>
      </c>
      <c r="O38" t="s">
        <v>19</v>
      </c>
      <c r="P38">
        <v>1234</v>
      </c>
      <c r="Q38" t="s">
        <v>22</v>
      </c>
      <c r="R38" t="s">
        <v>253</v>
      </c>
      <c r="S38">
        <v>123456789</v>
      </c>
    </row>
    <row r="39" spans="1:19" x14ac:dyDescent="0.25">
      <c r="A39">
        <v>12345678</v>
      </c>
      <c r="B39" t="s">
        <v>194</v>
      </c>
      <c r="C39" t="s">
        <v>100</v>
      </c>
      <c r="D39">
        <v>123456</v>
      </c>
      <c r="E39" s="18">
        <v>12334567000189</v>
      </c>
      <c r="F39" t="s">
        <v>252</v>
      </c>
      <c r="G39" t="s">
        <v>24</v>
      </c>
      <c r="H39">
        <v>27.5</v>
      </c>
      <c r="I39">
        <v>27.07</v>
      </c>
      <c r="J39">
        <v>0.43</v>
      </c>
      <c r="K39" t="s">
        <v>26</v>
      </c>
      <c r="L39" t="s">
        <v>20</v>
      </c>
      <c r="M39" t="s">
        <v>28</v>
      </c>
      <c r="N39" t="s">
        <v>21</v>
      </c>
      <c r="O39" t="s">
        <v>19</v>
      </c>
      <c r="P39">
        <v>1234</v>
      </c>
      <c r="Q39" t="s">
        <v>22</v>
      </c>
      <c r="R39" t="s">
        <v>253</v>
      </c>
      <c r="S39">
        <v>123456789</v>
      </c>
    </row>
    <row r="40" spans="1:19" x14ac:dyDescent="0.25">
      <c r="A40">
        <v>12345678</v>
      </c>
      <c r="B40" t="s">
        <v>195</v>
      </c>
      <c r="C40" t="s">
        <v>101</v>
      </c>
      <c r="D40">
        <v>123456</v>
      </c>
      <c r="E40" s="18">
        <v>12334567000189</v>
      </c>
      <c r="F40" t="s">
        <v>252</v>
      </c>
      <c r="G40" t="s">
        <v>24</v>
      </c>
      <c r="H40">
        <v>43</v>
      </c>
      <c r="I40">
        <v>41.35</v>
      </c>
      <c r="J40">
        <v>1.65</v>
      </c>
      <c r="K40" t="s">
        <v>29</v>
      </c>
      <c r="L40" t="s">
        <v>20</v>
      </c>
      <c r="M40" t="s">
        <v>30</v>
      </c>
      <c r="N40" t="s">
        <v>21</v>
      </c>
      <c r="O40" t="s">
        <v>19</v>
      </c>
      <c r="P40">
        <v>1234</v>
      </c>
      <c r="Q40" t="s">
        <v>22</v>
      </c>
      <c r="R40" t="s">
        <v>253</v>
      </c>
      <c r="S40">
        <v>123456789</v>
      </c>
    </row>
    <row r="41" spans="1:19" x14ac:dyDescent="0.25">
      <c r="A41">
        <v>12345678</v>
      </c>
      <c r="B41" t="s">
        <v>196</v>
      </c>
      <c r="C41" t="s">
        <v>102</v>
      </c>
      <c r="D41">
        <v>123456</v>
      </c>
      <c r="E41" s="18">
        <v>12334567000189</v>
      </c>
      <c r="F41" t="s">
        <v>252</v>
      </c>
      <c r="G41" t="s">
        <v>24</v>
      </c>
      <c r="H41">
        <v>48.27</v>
      </c>
      <c r="I41">
        <v>46.41</v>
      </c>
      <c r="J41">
        <v>1.86</v>
      </c>
      <c r="K41" t="s">
        <v>29</v>
      </c>
      <c r="L41" t="s">
        <v>20</v>
      </c>
      <c r="M41" t="s">
        <v>25</v>
      </c>
      <c r="N41" t="s">
        <v>21</v>
      </c>
      <c r="O41" t="s">
        <v>19</v>
      </c>
      <c r="P41">
        <v>1234</v>
      </c>
      <c r="Q41" t="s">
        <v>22</v>
      </c>
      <c r="R41" t="s">
        <v>253</v>
      </c>
      <c r="S41">
        <v>123456789</v>
      </c>
    </row>
    <row r="42" spans="1:19" x14ac:dyDescent="0.25">
      <c r="A42">
        <v>12345678</v>
      </c>
      <c r="B42" t="s">
        <v>197</v>
      </c>
      <c r="C42" t="s">
        <v>103</v>
      </c>
      <c r="D42">
        <v>123456</v>
      </c>
      <c r="E42" s="18">
        <v>12334567000189</v>
      </c>
      <c r="F42" t="s">
        <v>252</v>
      </c>
      <c r="G42" t="s">
        <v>24</v>
      </c>
      <c r="H42">
        <v>51.35</v>
      </c>
      <c r="I42">
        <v>50.47</v>
      </c>
      <c r="J42">
        <v>0.88</v>
      </c>
      <c r="K42" t="s">
        <v>26</v>
      </c>
      <c r="L42" t="s">
        <v>20</v>
      </c>
      <c r="M42" t="s">
        <v>27</v>
      </c>
      <c r="N42" t="s">
        <v>21</v>
      </c>
      <c r="O42" t="s">
        <v>19</v>
      </c>
      <c r="P42">
        <v>1234</v>
      </c>
      <c r="Q42" t="s">
        <v>22</v>
      </c>
      <c r="R42" t="s">
        <v>253</v>
      </c>
      <c r="S42">
        <v>123456789</v>
      </c>
    </row>
    <row r="43" spans="1:19" x14ac:dyDescent="0.25">
      <c r="A43">
        <v>12345678</v>
      </c>
      <c r="B43" t="s">
        <v>198</v>
      </c>
      <c r="C43" t="s">
        <v>104</v>
      </c>
      <c r="D43">
        <v>123456</v>
      </c>
      <c r="E43" s="18">
        <v>12334567000189</v>
      </c>
      <c r="F43" t="s">
        <v>252</v>
      </c>
      <c r="G43" t="s">
        <v>24</v>
      </c>
      <c r="H43">
        <v>48.27</v>
      </c>
      <c r="I43">
        <v>46.41</v>
      </c>
      <c r="J43">
        <v>1.86</v>
      </c>
      <c r="K43" t="s">
        <v>29</v>
      </c>
      <c r="L43" t="s">
        <v>20</v>
      </c>
      <c r="M43" t="s">
        <v>28</v>
      </c>
      <c r="N43" t="s">
        <v>21</v>
      </c>
      <c r="O43" t="s">
        <v>19</v>
      </c>
      <c r="P43">
        <v>1234</v>
      </c>
      <c r="Q43" t="s">
        <v>22</v>
      </c>
      <c r="R43" t="s">
        <v>253</v>
      </c>
      <c r="S43">
        <v>123456789</v>
      </c>
    </row>
    <row r="44" spans="1:19" x14ac:dyDescent="0.25">
      <c r="A44">
        <v>12345678</v>
      </c>
      <c r="B44" t="s">
        <v>199</v>
      </c>
      <c r="C44" t="s">
        <v>105</v>
      </c>
      <c r="D44">
        <v>123456</v>
      </c>
      <c r="E44" s="18">
        <v>12334567000189</v>
      </c>
      <c r="F44" t="s">
        <v>252</v>
      </c>
      <c r="G44" t="s">
        <v>31</v>
      </c>
      <c r="H44">
        <v>37.6</v>
      </c>
      <c r="I44">
        <v>0</v>
      </c>
      <c r="J44">
        <v>0.15</v>
      </c>
      <c r="K44" t="s">
        <v>23</v>
      </c>
      <c r="L44" t="s">
        <v>20</v>
      </c>
      <c r="M44" t="s">
        <v>30</v>
      </c>
      <c r="N44" t="s">
        <v>21</v>
      </c>
      <c r="O44" t="s">
        <v>19</v>
      </c>
      <c r="P44">
        <v>1234</v>
      </c>
      <c r="Q44" t="s">
        <v>22</v>
      </c>
      <c r="R44" t="s">
        <v>253</v>
      </c>
      <c r="S44">
        <v>123456789</v>
      </c>
    </row>
    <row r="45" spans="1:19" x14ac:dyDescent="0.25">
      <c r="A45">
        <v>12345678</v>
      </c>
      <c r="B45" t="s">
        <v>200</v>
      </c>
      <c r="C45" t="s">
        <v>106</v>
      </c>
      <c r="D45">
        <v>123456</v>
      </c>
      <c r="E45" s="18">
        <v>12334567000189</v>
      </c>
      <c r="F45" t="s">
        <v>252</v>
      </c>
      <c r="G45" t="s">
        <v>24</v>
      </c>
      <c r="H45">
        <v>37.6</v>
      </c>
      <c r="I45">
        <v>36.15</v>
      </c>
      <c r="J45">
        <v>1.45</v>
      </c>
      <c r="K45" t="s">
        <v>29</v>
      </c>
      <c r="L45" t="s">
        <v>20</v>
      </c>
      <c r="M45" t="s">
        <v>25</v>
      </c>
      <c r="N45" t="s">
        <v>21</v>
      </c>
      <c r="O45" t="s">
        <v>19</v>
      </c>
      <c r="P45">
        <v>1234</v>
      </c>
      <c r="Q45" t="s">
        <v>22</v>
      </c>
      <c r="R45" t="s">
        <v>253</v>
      </c>
      <c r="S45">
        <v>123456789</v>
      </c>
    </row>
    <row r="46" spans="1:19" x14ac:dyDescent="0.25">
      <c r="A46">
        <v>12345678</v>
      </c>
      <c r="B46" t="s">
        <v>201</v>
      </c>
      <c r="C46" t="s">
        <v>107</v>
      </c>
      <c r="D46">
        <v>123456</v>
      </c>
      <c r="E46" s="18">
        <v>12334567000189</v>
      </c>
      <c r="F46" t="s">
        <v>252</v>
      </c>
      <c r="G46" t="s">
        <v>24</v>
      </c>
      <c r="H46">
        <v>74.45</v>
      </c>
      <c r="I46">
        <v>73.3</v>
      </c>
      <c r="J46">
        <v>1.1499999999999999</v>
      </c>
      <c r="K46" t="s">
        <v>26</v>
      </c>
      <c r="L46" t="s">
        <v>20</v>
      </c>
      <c r="M46" t="s">
        <v>27</v>
      </c>
      <c r="N46" t="s">
        <v>21</v>
      </c>
      <c r="O46" t="s">
        <v>19</v>
      </c>
      <c r="P46">
        <v>1234</v>
      </c>
      <c r="Q46" t="s">
        <v>22</v>
      </c>
      <c r="R46" t="s">
        <v>253</v>
      </c>
      <c r="S46">
        <v>123456789</v>
      </c>
    </row>
    <row r="47" spans="1:19" x14ac:dyDescent="0.25">
      <c r="A47">
        <v>12345678</v>
      </c>
      <c r="B47" t="s">
        <v>202</v>
      </c>
      <c r="C47" t="s">
        <v>108</v>
      </c>
      <c r="D47">
        <v>123456</v>
      </c>
      <c r="E47" s="18">
        <v>12334567000189</v>
      </c>
      <c r="F47" t="s">
        <v>252</v>
      </c>
      <c r="G47" t="s">
        <v>24</v>
      </c>
      <c r="H47">
        <v>20</v>
      </c>
      <c r="I47">
        <v>19.690000000000001</v>
      </c>
      <c r="J47">
        <v>0.31</v>
      </c>
      <c r="K47" t="s">
        <v>26</v>
      </c>
      <c r="L47" t="s">
        <v>20</v>
      </c>
      <c r="M47" t="s">
        <v>28</v>
      </c>
      <c r="N47" t="s">
        <v>21</v>
      </c>
      <c r="O47" t="s">
        <v>19</v>
      </c>
      <c r="P47">
        <v>1234</v>
      </c>
      <c r="Q47" t="s">
        <v>22</v>
      </c>
      <c r="R47" t="s">
        <v>253</v>
      </c>
      <c r="S47">
        <v>123456789</v>
      </c>
    </row>
    <row r="48" spans="1:19" x14ac:dyDescent="0.25">
      <c r="A48">
        <v>12345678</v>
      </c>
      <c r="B48" t="s">
        <v>203</v>
      </c>
      <c r="C48" t="s">
        <v>109</v>
      </c>
      <c r="D48">
        <v>123456</v>
      </c>
      <c r="E48" s="18">
        <v>12334567000189</v>
      </c>
      <c r="F48" t="s">
        <v>252</v>
      </c>
      <c r="G48" t="s">
        <v>31</v>
      </c>
      <c r="H48">
        <v>47.22</v>
      </c>
      <c r="I48">
        <v>0</v>
      </c>
      <c r="J48">
        <v>0.18</v>
      </c>
      <c r="K48" t="s">
        <v>23</v>
      </c>
      <c r="L48" t="s">
        <v>20</v>
      </c>
      <c r="M48" t="s">
        <v>30</v>
      </c>
      <c r="N48" t="s">
        <v>21</v>
      </c>
      <c r="O48" t="s">
        <v>19</v>
      </c>
      <c r="P48">
        <v>1234</v>
      </c>
      <c r="Q48" t="s">
        <v>22</v>
      </c>
      <c r="R48" t="s">
        <v>253</v>
      </c>
      <c r="S48">
        <v>123456789</v>
      </c>
    </row>
    <row r="49" spans="1:19" x14ac:dyDescent="0.25">
      <c r="A49">
        <v>12345678</v>
      </c>
      <c r="B49" t="s">
        <v>204</v>
      </c>
      <c r="C49" t="s">
        <v>110</v>
      </c>
      <c r="D49">
        <v>123456</v>
      </c>
      <c r="E49" s="18">
        <v>12334567000189</v>
      </c>
      <c r="F49" t="s">
        <v>252</v>
      </c>
      <c r="G49" t="s">
        <v>24</v>
      </c>
      <c r="H49">
        <v>163.41999999999999</v>
      </c>
      <c r="I49">
        <v>160.88999999999999</v>
      </c>
      <c r="J49">
        <v>2.5299999999999998</v>
      </c>
      <c r="K49" t="s">
        <v>26</v>
      </c>
      <c r="L49" t="s">
        <v>20</v>
      </c>
      <c r="M49" t="s">
        <v>25</v>
      </c>
      <c r="N49" t="s">
        <v>21</v>
      </c>
      <c r="O49" t="s">
        <v>19</v>
      </c>
      <c r="P49">
        <v>1234</v>
      </c>
      <c r="Q49" t="s">
        <v>22</v>
      </c>
      <c r="R49" t="s">
        <v>253</v>
      </c>
      <c r="S49">
        <v>123456789</v>
      </c>
    </row>
    <row r="50" spans="1:19" x14ac:dyDescent="0.25">
      <c r="A50">
        <v>12345678</v>
      </c>
      <c r="B50" t="s">
        <v>205</v>
      </c>
      <c r="C50" t="s">
        <v>111</v>
      </c>
      <c r="D50">
        <v>123456</v>
      </c>
      <c r="E50" s="18">
        <v>12334567000189</v>
      </c>
      <c r="F50" t="s">
        <v>252</v>
      </c>
      <c r="G50" t="s">
        <v>31</v>
      </c>
      <c r="H50">
        <v>94.45</v>
      </c>
      <c r="I50">
        <v>0</v>
      </c>
      <c r="J50">
        <v>0.37</v>
      </c>
      <c r="K50" t="s">
        <v>23</v>
      </c>
      <c r="L50" t="s">
        <v>20</v>
      </c>
      <c r="M50" t="s">
        <v>27</v>
      </c>
      <c r="N50" t="s">
        <v>21</v>
      </c>
      <c r="O50" t="s">
        <v>19</v>
      </c>
      <c r="P50">
        <v>1234</v>
      </c>
      <c r="Q50" t="s">
        <v>22</v>
      </c>
      <c r="R50" t="s">
        <v>253</v>
      </c>
      <c r="S50">
        <v>123456789</v>
      </c>
    </row>
    <row r="51" spans="1:19" x14ac:dyDescent="0.25">
      <c r="A51">
        <v>12345678</v>
      </c>
      <c r="B51" t="s">
        <v>206</v>
      </c>
      <c r="C51" t="s">
        <v>112</v>
      </c>
      <c r="D51">
        <v>123456</v>
      </c>
      <c r="E51" s="18">
        <v>12334567000189</v>
      </c>
      <c r="F51" t="s">
        <v>252</v>
      </c>
      <c r="G51" t="s">
        <v>24</v>
      </c>
      <c r="H51">
        <v>61.35</v>
      </c>
      <c r="I51">
        <v>58.99</v>
      </c>
      <c r="J51">
        <v>2.36</v>
      </c>
      <c r="K51" t="s">
        <v>29</v>
      </c>
      <c r="L51" t="s">
        <v>20</v>
      </c>
      <c r="M51" t="s">
        <v>28</v>
      </c>
      <c r="N51" t="s">
        <v>21</v>
      </c>
      <c r="O51" t="s">
        <v>19</v>
      </c>
      <c r="P51">
        <v>1234</v>
      </c>
      <c r="Q51" t="s">
        <v>22</v>
      </c>
      <c r="R51" t="s">
        <v>253</v>
      </c>
      <c r="S51">
        <v>123456789</v>
      </c>
    </row>
    <row r="52" spans="1:19" x14ac:dyDescent="0.25">
      <c r="A52">
        <v>12345678</v>
      </c>
      <c r="B52" t="s">
        <v>207</v>
      </c>
      <c r="C52" t="s">
        <v>113</v>
      </c>
      <c r="D52">
        <v>123456</v>
      </c>
      <c r="E52" s="18">
        <v>12334567000189</v>
      </c>
      <c r="F52" t="s">
        <v>252</v>
      </c>
      <c r="G52" t="s">
        <v>24</v>
      </c>
      <c r="H52">
        <v>61.35</v>
      </c>
      <c r="I52">
        <v>58.99</v>
      </c>
      <c r="J52">
        <v>2.36</v>
      </c>
      <c r="K52" t="s">
        <v>29</v>
      </c>
      <c r="L52" t="s">
        <v>20</v>
      </c>
      <c r="M52" t="s">
        <v>30</v>
      </c>
      <c r="N52" t="s">
        <v>21</v>
      </c>
      <c r="O52" t="s">
        <v>19</v>
      </c>
      <c r="P52">
        <v>1234</v>
      </c>
      <c r="Q52" t="s">
        <v>22</v>
      </c>
      <c r="R52" t="s">
        <v>253</v>
      </c>
      <c r="S52">
        <v>123456789</v>
      </c>
    </row>
    <row r="53" spans="1:19" x14ac:dyDescent="0.25">
      <c r="A53">
        <v>12345678</v>
      </c>
      <c r="B53" t="s">
        <v>208</v>
      </c>
      <c r="C53" t="s">
        <v>114</v>
      </c>
      <c r="D53">
        <v>123456</v>
      </c>
      <c r="E53" s="18">
        <v>12334567000189</v>
      </c>
      <c r="F53" t="s">
        <v>252</v>
      </c>
      <c r="G53" t="s">
        <v>24</v>
      </c>
      <c r="H53">
        <v>94.45</v>
      </c>
      <c r="I53">
        <v>92.99</v>
      </c>
      <c r="J53">
        <v>1.46</v>
      </c>
      <c r="K53" t="s">
        <v>26</v>
      </c>
      <c r="L53" t="s">
        <v>20</v>
      </c>
      <c r="M53" t="s">
        <v>25</v>
      </c>
      <c r="N53" t="s">
        <v>21</v>
      </c>
      <c r="O53" t="s">
        <v>19</v>
      </c>
      <c r="P53">
        <v>1234</v>
      </c>
      <c r="Q53" t="s">
        <v>22</v>
      </c>
      <c r="R53" t="s">
        <v>253</v>
      </c>
      <c r="S53">
        <v>123456789</v>
      </c>
    </row>
    <row r="54" spans="1:19" x14ac:dyDescent="0.25">
      <c r="A54">
        <v>12345678</v>
      </c>
      <c r="B54" t="s">
        <v>209</v>
      </c>
      <c r="C54" t="s">
        <v>115</v>
      </c>
      <c r="D54">
        <v>123456</v>
      </c>
      <c r="E54" s="18">
        <v>12334567000189</v>
      </c>
      <c r="F54" t="s">
        <v>252</v>
      </c>
      <c r="G54" t="s">
        <v>31</v>
      </c>
      <c r="H54">
        <v>51.92</v>
      </c>
      <c r="I54">
        <v>0</v>
      </c>
      <c r="J54">
        <v>0.2</v>
      </c>
      <c r="K54" t="s">
        <v>23</v>
      </c>
      <c r="L54" t="s">
        <v>20</v>
      </c>
      <c r="M54" t="s">
        <v>27</v>
      </c>
      <c r="N54" t="s">
        <v>21</v>
      </c>
      <c r="O54" t="s">
        <v>19</v>
      </c>
      <c r="P54">
        <v>1234</v>
      </c>
      <c r="Q54" t="s">
        <v>22</v>
      </c>
      <c r="R54" t="s">
        <v>253</v>
      </c>
      <c r="S54">
        <v>123456789</v>
      </c>
    </row>
    <row r="55" spans="1:19" x14ac:dyDescent="0.25">
      <c r="A55">
        <v>12345678</v>
      </c>
      <c r="B55" t="s">
        <v>210</v>
      </c>
      <c r="C55" t="s">
        <v>116</v>
      </c>
      <c r="D55">
        <v>123456</v>
      </c>
      <c r="E55" s="18">
        <v>12334567000189</v>
      </c>
      <c r="F55" t="s">
        <v>252</v>
      </c>
      <c r="G55" t="s">
        <v>24</v>
      </c>
      <c r="H55">
        <v>50.7</v>
      </c>
      <c r="I55">
        <v>48.74</v>
      </c>
      <c r="J55">
        <v>1.96</v>
      </c>
      <c r="K55" t="s">
        <v>29</v>
      </c>
      <c r="L55" t="s">
        <v>20</v>
      </c>
      <c r="M55" t="s">
        <v>28</v>
      </c>
      <c r="N55" t="s">
        <v>21</v>
      </c>
      <c r="O55" t="s">
        <v>19</v>
      </c>
      <c r="P55">
        <v>1234</v>
      </c>
      <c r="Q55" t="s">
        <v>22</v>
      </c>
      <c r="R55" t="s">
        <v>253</v>
      </c>
      <c r="S55">
        <v>123456789</v>
      </c>
    </row>
    <row r="56" spans="1:19" x14ac:dyDescent="0.25">
      <c r="A56">
        <v>12345678</v>
      </c>
      <c r="B56" t="s">
        <v>211</v>
      </c>
      <c r="C56" t="s">
        <v>117</v>
      </c>
      <c r="D56">
        <v>123456</v>
      </c>
      <c r="E56" s="18">
        <v>12334567000189</v>
      </c>
      <c r="F56" t="s">
        <v>252</v>
      </c>
      <c r="G56" t="s">
        <v>24</v>
      </c>
      <c r="H56">
        <v>51.92</v>
      </c>
      <c r="I56">
        <v>49.92</v>
      </c>
      <c r="J56">
        <v>2</v>
      </c>
      <c r="K56" t="s">
        <v>29</v>
      </c>
      <c r="L56" t="s">
        <v>20</v>
      </c>
      <c r="M56" t="s">
        <v>30</v>
      </c>
      <c r="N56" t="s">
        <v>21</v>
      </c>
      <c r="O56" t="s">
        <v>19</v>
      </c>
      <c r="P56">
        <v>1234</v>
      </c>
      <c r="Q56" t="s">
        <v>22</v>
      </c>
      <c r="R56" t="s">
        <v>253</v>
      </c>
      <c r="S56">
        <v>123456789</v>
      </c>
    </row>
    <row r="57" spans="1:19" x14ac:dyDescent="0.25">
      <c r="A57">
        <v>12345678</v>
      </c>
      <c r="B57" t="s">
        <v>212</v>
      </c>
      <c r="C57" t="s">
        <v>118</v>
      </c>
      <c r="D57">
        <v>123456</v>
      </c>
      <c r="E57" s="18">
        <v>12334567000189</v>
      </c>
      <c r="F57" t="s">
        <v>252</v>
      </c>
      <c r="G57" t="s">
        <v>24</v>
      </c>
      <c r="H57">
        <v>40.9</v>
      </c>
      <c r="I57">
        <v>40.26</v>
      </c>
      <c r="J57">
        <v>0.64</v>
      </c>
      <c r="K57" t="s">
        <v>26</v>
      </c>
      <c r="L57" t="s">
        <v>20</v>
      </c>
      <c r="M57" t="s">
        <v>25</v>
      </c>
      <c r="N57" t="s">
        <v>21</v>
      </c>
      <c r="O57" t="s">
        <v>19</v>
      </c>
      <c r="P57">
        <v>1234</v>
      </c>
      <c r="Q57" t="s">
        <v>22</v>
      </c>
      <c r="R57" t="s">
        <v>253</v>
      </c>
      <c r="S57">
        <v>123456789</v>
      </c>
    </row>
    <row r="58" spans="1:19" x14ac:dyDescent="0.25">
      <c r="A58">
        <v>12345678</v>
      </c>
      <c r="B58" t="s">
        <v>213</v>
      </c>
      <c r="C58" t="s">
        <v>119</v>
      </c>
      <c r="D58">
        <v>123456</v>
      </c>
      <c r="E58" s="18">
        <v>12334567000189</v>
      </c>
      <c r="F58" t="s">
        <v>252</v>
      </c>
      <c r="G58" t="s">
        <v>24</v>
      </c>
      <c r="H58">
        <v>124.5</v>
      </c>
      <c r="I58">
        <v>119.7</v>
      </c>
      <c r="J58">
        <v>4.8</v>
      </c>
      <c r="K58" t="s">
        <v>29</v>
      </c>
      <c r="L58" t="s">
        <v>20</v>
      </c>
      <c r="M58" t="s">
        <v>27</v>
      </c>
      <c r="N58" t="s">
        <v>21</v>
      </c>
      <c r="O58" t="s">
        <v>19</v>
      </c>
      <c r="P58">
        <v>1234</v>
      </c>
      <c r="Q58" t="s">
        <v>22</v>
      </c>
      <c r="R58" t="s">
        <v>253</v>
      </c>
      <c r="S58">
        <v>123456789</v>
      </c>
    </row>
    <row r="59" spans="1:19" x14ac:dyDescent="0.25">
      <c r="A59">
        <v>12345678</v>
      </c>
      <c r="B59" t="s">
        <v>214</v>
      </c>
      <c r="C59" t="s">
        <v>120</v>
      </c>
      <c r="D59">
        <v>123456</v>
      </c>
      <c r="E59" s="18">
        <v>12334567000189</v>
      </c>
      <c r="F59" t="s">
        <v>252</v>
      </c>
      <c r="G59" t="s">
        <v>24</v>
      </c>
      <c r="H59">
        <v>56.86</v>
      </c>
      <c r="I59">
        <v>54.68</v>
      </c>
      <c r="J59">
        <v>2.1800000000000002</v>
      </c>
      <c r="K59" t="s">
        <v>29</v>
      </c>
      <c r="L59" t="s">
        <v>20</v>
      </c>
      <c r="M59" t="s">
        <v>28</v>
      </c>
      <c r="N59" t="s">
        <v>21</v>
      </c>
      <c r="O59" t="s">
        <v>19</v>
      </c>
      <c r="P59">
        <v>1234</v>
      </c>
      <c r="Q59" t="s">
        <v>22</v>
      </c>
      <c r="R59" t="s">
        <v>253</v>
      </c>
      <c r="S59">
        <v>123456789</v>
      </c>
    </row>
    <row r="60" spans="1:19" x14ac:dyDescent="0.25">
      <c r="A60">
        <v>12345678</v>
      </c>
      <c r="B60" t="s">
        <v>215</v>
      </c>
      <c r="C60" t="s">
        <v>121</v>
      </c>
      <c r="D60">
        <v>123456</v>
      </c>
      <c r="E60" s="18">
        <v>12334567000189</v>
      </c>
      <c r="F60" t="s">
        <v>252</v>
      </c>
      <c r="G60" t="s">
        <v>24</v>
      </c>
      <c r="H60">
        <v>29.5</v>
      </c>
      <c r="I60">
        <v>28.37</v>
      </c>
      <c r="J60">
        <v>1.1299999999999999</v>
      </c>
      <c r="K60" t="s">
        <v>29</v>
      </c>
      <c r="L60" t="s">
        <v>20</v>
      </c>
      <c r="M60" t="s">
        <v>30</v>
      </c>
      <c r="N60" t="s">
        <v>21</v>
      </c>
      <c r="O60" t="s">
        <v>19</v>
      </c>
      <c r="P60">
        <v>1234</v>
      </c>
      <c r="Q60" t="s">
        <v>22</v>
      </c>
      <c r="R60" t="s">
        <v>253</v>
      </c>
      <c r="S60">
        <v>123456789</v>
      </c>
    </row>
    <row r="61" spans="1:19" x14ac:dyDescent="0.25">
      <c r="A61">
        <v>12345678</v>
      </c>
      <c r="B61" t="s">
        <v>216</v>
      </c>
      <c r="C61" t="s">
        <v>122</v>
      </c>
      <c r="D61">
        <v>123456</v>
      </c>
      <c r="E61" s="18">
        <v>12334567000189</v>
      </c>
      <c r="F61" t="s">
        <v>252</v>
      </c>
      <c r="G61" t="s">
        <v>24</v>
      </c>
      <c r="H61">
        <v>229.45</v>
      </c>
      <c r="I61">
        <v>225.89</v>
      </c>
      <c r="J61">
        <v>3.56</v>
      </c>
      <c r="K61" t="s">
        <v>26</v>
      </c>
      <c r="L61" t="s">
        <v>20</v>
      </c>
      <c r="M61" t="s">
        <v>25</v>
      </c>
      <c r="N61" t="s">
        <v>21</v>
      </c>
      <c r="O61" t="s">
        <v>19</v>
      </c>
      <c r="P61">
        <v>1234</v>
      </c>
      <c r="Q61" t="s">
        <v>22</v>
      </c>
      <c r="R61" t="s">
        <v>253</v>
      </c>
      <c r="S61">
        <v>123456789</v>
      </c>
    </row>
    <row r="62" spans="1:19" x14ac:dyDescent="0.25">
      <c r="A62">
        <v>12345678</v>
      </c>
      <c r="B62" t="s">
        <v>217</v>
      </c>
      <c r="C62" t="s">
        <v>123</v>
      </c>
      <c r="D62">
        <v>123456</v>
      </c>
      <c r="E62" s="18">
        <v>12334567000189</v>
      </c>
      <c r="F62" t="s">
        <v>252</v>
      </c>
      <c r="G62" t="s">
        <v>24</v>
      </c>
      <c r="H62">
        <v>225</v>
      </c>
      <c r="I62">
        <v>216.34</v>
      </c>
      <c r="J62">
        <v>8.66</v>
      </c>
      <c r="K62" t="s">
        <v>29</v>
      </c>
      <c r="L62" t="s">
        <v>20</v>
      </c>
      <c r="M62" t="s">
        <v>27</v>
      </c>
      <c r="N62" t="s">
        <v>21</v>
      </c>
      <c r="O62" t="s">
        <v>19</v>
      </c>
      <c r="P62">
        <v>1234</v>
      </c>
      <c r="Q62" t="s">
        <v>22</v>
      </c>
      <c r="R62" t="s">
        <v>253</v>
      </c>
      <c r="S62">
        <v>123456789</v>
      </c>
    </row>
    <row r="63" spans="1:19" x14ac:dyDescent="0.25">
      <c r="A63">
        <v>12345678</v>
      </c>
      <c r="B63" t="s">
        <v>218</v>
      </c>
      <c r="C63" t="s">
        <v>124</v>
      </c>
      <c r="D63">
        <v>123456</v>
      </c>
      <c r="E63" s="18">
        <v>12334567000189</v>
      </c>
      <c r="F63" t="s">
        <v>252</v>
      </c>
      <c r="G63" t="s">
        <v>24</v>
      </c>
      <c r="H63">
        <v>92.82</v>
      </c>
      <c r="I63">
        <v>91.38</v>
      </c>
      <c r="J63">
        <v>1.44</v>
      </c>
      <c r="K63" t="s">
        <v>26</v>
      </c>
      <c r="L63" t="s">
        <v>20</v>
      </c>
      <c r="M63" t="s">
        <v>28</v>
      </c>
      <c r="N63" t="s">
        <v>21</v>
      </c>
      <c r="O63" t="s">
        <v>19</v>
      </c>
      <c r="P63">
        <v>1234</v>
      </c>
      <c r="Q63" t="s">
        <v>22</v>
      </c>
      <c r="R63" t="s">
        <v>253</v>
      </c>
      <c r="S63">
        <v>123456789</v>
      </c>
    </row>
    <row r="64" spans="1:19" x14ac:dyDescent="0.25">
      <c r="A64">
        <v>12345678</v>
      </c>
      <c r="B64" t="s">
        <v>219</v>
      </c>
      <c r="C64" t="s">
        <v>125</v>
      </c>
      <c r="D64">
        <v>123456</v>
      </c>
      <c r="E64" s="18">
        <v>12334567000189</v>
      </c>
      <c r="F64" t="s">
        <v>252</v>
      </c>
      <c r="G64" t="s">
        <v>24</v>
      </c>
      <c r="H64">
        <v>239</v>
      </c>
      <c r="I64">
        <v>229.8</v>
      </c>
      <c r="J64">
        <v>9.1999999999999993</v>
      </c>
      <c r="K64" t="s">
        <v>29</v>
      </c>
      <c r="L64" t="s">
        <v>20</v>
      </c>
      <c r="M64" t="s">
        <v>30</v>
      </c>
      <c r="N64" t="s">
        <v>21</v>
      </c>
      <c r="O64" t="s">
        <v>19</v>
      </c>
      <c r="P64">
        <v>1234</v>
      </c>
      <c r="Q64" t="s">
        <v>22</v>
      </c>
      <c r="R64" t="s">
        <v>253</v>
      </c>
      <c r="S64">
        <v>123456789</v>
      </c>
    </row>
    <row r="65" spans="1:19" x14ac:dyDescent="0.25">
      <c r="A65">
        <v>12345678</v>
      </c>
      <c r="B65" t="s">
        <v>220</v>
      </c>
      <c r="C65" t="s">
        <v>126</v>
      </c>
      <c r="D65">
        <v>123456</v>
      </c>
      <c r="E65" s="18">
        <v>12334567000189</v>
      </c>
      <c r="F65" t="s">
        <v>252</v>
      </c>
      <c r="G65" t="s">
        <v>24</v>
      </c>
      <c r="H65">
        <v>72.510000000000005</v>
      </c>
      <c r="I65">
        <v>71.39</v>
      </c>
      <c r="J65">
        <v>1.1200000000000001</v>
      </c>
      <c r="K65" t="s">
        <v>26</v>
      </c>
      <c r="L65" t="s">
        <v>20</v>
      </c>
      <c r="M65" t="s">
        <v>25</v>
      </c>
      <c r="N65" t="s">
        <v>21</v>
      </c>
      <c r="O65" t="s">
        <v>19</v>
      </c>
      <c r="P65">
        <v>1234</v>
      </c>
      <c r="Q65" t="s">
        <v>22</v>
      </c>
      <c r="R65" t="s">
        <v>253</v>
      </c>
      <c r="S65">
        <v>123456789</v>
      </c>
    </row>
    <row r="66" spans="1:19" x14ac:dyDescent="0.25">
      <c r="A66">
        <v>12345678</v>
      </c>
      <c r="B66" t="s">
        <v>221</v>
      </c>
      <c r="C66" t="s">
        <v>127</v>
      </c>
      <c r="D66">
        <v>123456</v>
      </c>
      <c r="E66" s="18">
        <v>12334567000189</v>
      </c>
      <c r="F66" t="s">
        <v>252</v>
      </c>
      <c r="G66" t="s">
        <v>24</v>
      </c>
      <c r="H66">
        <v>20</v>
      </c>
      <c r="I66">
        <v>19.690000000000001</v>
      </c>
      <c r="J66">
        <v>0.31</v>
      </c>
      <c r="K66" t="s">
        <v>26</v>
      </c>
      <c r="L66" t="s">
        <v>20</v>
      </c>
      <c r="M66" t="s">
        <v>27</v>
      </c>
      <c r="N66" t="s">
        <v>21</v>
      </c>
      <c r="O66" t="s">
        <v>19</v>
      </c>
      <c r="P66">
        <v>1234</v>
      </c>
      <c r="Q66" t="s">
        <v>22</v>
      </c>
      <c r="R66" t="s">
        <v>253</v>
      </c>
      <c r="S66">
        <v>123456789</v>
      </c>
    </row>
    <row r="67" spans="1:19" x14ac:dyDescent="0.25">
      <c r="A67">
        <v>12345678</v>
      </c>
      <c r="B67" t="s">
        <v>222</v>
      </c>
      <c r="C67" t="s">
        <v>128</v>
      </c>
      <c r="D67">
        <v>123456</v>
      </c>
      <c r="E67" s="18">
        <v>12334567000189</v>
      </c>
      <c r="F67" t="s">
        <v>252</v>
      </c>
      <c r="G67" t="s">
        <v>24</v>
      </c>
      <c r="H67">
        <v>47.9</v>
      </c>
      <c r="I67">
        <v>46.06</v>
      </c>
      <c r="J67">
        <v>1.84</v>
      </c>
      <c r="K67" t="s">
        <v>29</v>
      </c>
      <c r="L67" t="s">
        <v>20</v>
      </c>
      <c r="M67" t="s">
        <v>28</v>
      </c>
      <c r="N67" t="s">
        <v>21</v>
      </c>
      <c r="O67" t="s">
        <v>19</v>
      </c>
      <c r="P67">
        <v>1234</v>
      </c>
      <c r="Q67" t="s">
        <v>22</v>
      </c>
      <c r="R67" t="s">
        <v>253</v>
      </c>
      <c r="S67">
        <v>123456789</v>
      </c>
    </row>
    <row r="68" spans="1:19" x14ac:dyDescent="0.25">
      <c r="A68">
        <v>12345678</v>
      </c>
      <c r="B68" t="s">
        <v>223</v>
      </c>
      <c r="C68" t="s">
        <v>129</v>
      </c>
      <c r="D68">
        <v>123456</v>
      </c>
      <c r="E68" s="18">
        <v>12334567000189</v>
      </c>
      <c r="F68" t="s">
        <v>252</v>
      </c>
      <c r="G68" t="s">
        <v>24</v>
      </c>
      <c r="H68">
        <v>307.14</v>
      </c>
      <c r="I68">
        <v>302.87</v>
      </c>
      <c r="J68">
        <v>4.2699999999999996</v>
      </c>
      <c r="K68" t="s">
        <v>23</v>
      </c>
      <c r="L68" t="s">
        <v>20</v>
      </c>
      <c r="M68" t="s">
        <v>30</v>
      </c>
      <c r="N68" t="s">
        <v>21</v>
      </c>
      <c r="O68" t="s">
        <v>19</v>
      </c>
      <c r="P68">
        <v>1234</v>
      </c>
      <c r="Q68" t="s">
        <v>22</v>
      </c>
      <c r="R68" t="s">
        <v>253</v>
      </c>
      <c r="S68">
        <v>123456789</v>
      </c>
    </row>
    <row r="69" spans="1:19" x14ac:dyDescent="0.25">
      <c r="A69">
        <v>12345678</v>
      </c>
      <c r="B69" t="s">
        <v>224</v>
      </c>
      <c r="C69" t="s">
        <v>130</v>
      </c>
      <c r="D69">
        <v>123456</v>
      </c>
      <c r="E69" s="18">
        <v>12334567000189</v>
      </c>
      <c r="F69" t="s">
        <v>252</v>
      </c>
      <c r="G69" t="s">
        <v>24</v>
      </c>
      <c r="H69">
        <v>28</v>
      </c>
      <c r="I69">
        <v>27.57</v>
      </c>
      <c r="J69">
        <v>0.43</v>
      </c>
      <c r="K69" t="s">
        <v>26</v>
      </c>
      <c r="L69" t="s">
        <v>20</v>
      </c>
      <c r="M69" t="s">
        <v>25</v>
      </c>
      <c r="N69" t="s">
        <v>21</v>
      </c>
      <c r="O69" t="s">
        <v>19</v>
      </c>
      <c r="P69">
        <v>1234</v>
      </c>
      <c r="Q69" t="s">
        <v>22</v>
      </c>
      <c r="R69" t="s">
        <v>253</v>
      </c>
      <c r="S69">
        <v>123456789</v>
      </c>
    </row>
    <row r="70" spans="1:19" x14ac:dyDescent="0.25">
      <c r="A70">
        <v>12345678</v>
      </c>
      <c r="B70" t="s">
        <v>225</v>
      </c>
      <c r="C70" t="s">
        <v>131</v>
      </c>
      <c r="D70">
        <v>123456</v>
      </c>
      <c r="E70" s="18">
        <v>12334567000189</v>
      </c>
      <c r="F70" t="s">
        <v>252</v>
      </c>
      <c r="G70" t="s">
        <v>24</v>
      </c>
      <c r="H70">
        <v>83.25</v>
      </c>
      <c r="I70">
        <v>81.96</v>
      </c>
      <c r="J70">
        <v>1.29</v>
      </c>
      <c r="K70" t="s">
        <v>26</v>
      </c>
      <c r="L70" t="s">
        <v>20</v>
      </c>
      <c r="M70" t="s">
        <v>27</v>
      </c>
      <c r="N70" t="s">
        <v>21</v>
      </c>
      <c r="O70" t="s">
        <v>19</v>
      </c>
      <c r="P70">
        <v>1234</v>
      </c>
      <c r="Q70" t="s">
        <v>22</v>
      </c>
      <c r="R70" t="s">
        <v>253</v>
      </c>
      <c r="S70">
        <v>123456789</v>
      </c>
    </row>
    <row r="71" spans="1:19" x14ac:dyDescent="0.25">
      <c r="A71">
        <v>12345678</v>
      </c>
      <c r="B71" t="s">
        <v>226</v>
      </c>
      <c r="C71" t="s">
        <v>132</v>
      </c>
      <c r="D71">
        <v>123456</v>
      </c>
      <c r="E71" s="18">
        <v>12334567000189</v>
      </c>
      <c r="F71" t="s">
        <v>252</v>
      </c>
      <c r="G71" t="s">
        <v>24</v>
      </c>
      <c r="H71">
        <v>140.12</v>
      </c>
      <c r="I71">
        <v>137.94999999999999</v>
      </c>
      <c r="J71">
        <v>2.17</v>
      </c>
      <c r="K71" t="s">
        <v>26</v>
      </c>
      <c r="L71" t="s">
        <v>20</v>
      </c>
      <c r="M71" t="s">
        <v>28</v>
      </c>
      <c r="N71" t="s">
        <v>21</v>
      </c>
      <c r="O71" t="s">
        <v>19</v>
      </c>
      <c r="P71">
        <v>1234</v>
      </c>
      <c r="Q71" t="s">
        <v>22</v>
      </c>
      <c r="R71" t="s">
        <v>253</v>
      </c>
      <c r="S71">
        <v>123456789</v>
      </c>
    </row>
    <row r="72" spans="1:19" x14ac:dyDescent="0.25">
      <c r="A72">
        <v>12345678</v>
      </c>
      <c r="B72" t="s">
        <v>227</v>
      </c>
      <c r="C72" t="s">
        <v>133</v>
      </c>
      <c r="D72">
        <v>123456</v>
      </c>
      <c r="E72" s="18">
        <v>12334567000189</v>
      </c>
      <c r="F72" t="s">
        <v>252</v>
      </c>
      <c r="G72" t="s">
        <v>24</v>
      </c>
      <c r="H72">
        <v>20</v>
      </c>
      <c r="I72">
        <v>19.690000000000001</v>
      </c>
      <c r="J72">
        <v>0.31</v>
      </c>
      <c r="K72" t="s">
        <v>26</v>
      </c>
      <c r="L72" t="s">
        <v>20</v>
      </c>
      <c r="M72" t="s">
        <v>30</v>
      </c>
      <c r="N72" t="s">
        <v>21</v>
      </c>
      <c r="O72" t="s">
        <v>19</v>
      </c>
      <c r="P72">
        <v>1234</v>
      </c>
      <c r="Q72" t="s">
        <v>22</v>
      </c>
      <c r="R72" t="s">
        <v>253</v>
      </c>
      <c r="S72">
        <v>123456789</v>
      </c>
    </row>
    <row r="73" spans="1:19" x14ac:dyDescent="0.25">
      <c r="A73">
        <v>12345678</v>
      </c>
      <c r="B73" t="s">
        <v>228</v>
      </c>
      <c r="C73" t="s">
        <v>134</v>
      </c>
      <c r="D73">
        <v>123456</v>
      </c>
      <c r="E73" s="18">
        <v>12334567000189</v>
      </c>
      <c r="F73" t="s">
        <v>252</v>
      </c>
      <c r="G73" t="s">
        <v>24</v>
      </c>
      <c r="H73">
        <v>20</v>
      </c>
      <c r="I73">
        <v>19.690000000000001</v>
      </c>
      <c r="J73">
        <v>0.31</v>
      </c>
      <c r="K73" t="s">
        <v>26</v>
      </c>
      <c r="L73" t="s">
        <v>20</v>
      </c>
      <c r="M73" t="s">
        <v>25</v>
      </c>
      <c r="N73" t="s">
        <v>21</v>
      </c>
      <c r="O73" t="s">
        <v>19</v>
      </c>
      <c r="P73">
        <v>1234</v>
      </c>
      <c r="Q73" t="s">
        <v>22</v>
      </c>
      <c r="R73" t="s">
        <v>253</v>
      </c>
      <c r="S73">
        <v>123456789</v>
      </c>
    </row>
    <row r="74" spans="1:19" x14ac:dyDescent="0.25">
      <c r="A74">
        <v>12345678</v>
      </c>
      <c r="B74" t="s">
        <v>229</v>
      </c>
      <c r="C74" t="s">
        <v>135</v>
      </c>
      <c r="D74">
        <v>123456</v>
      </c>
      <c r="E74" s="18">
        <v>12334567000189</v>
      </c>
      <c r="F74" t="s">
        <v>252</v>
      </c>
      <c r="G74" t="s">
        <v>24</v>
      </c>
      <c r="H74">
        <v>93.15</v>
      </c>
      <c r="I74">
        <v>89.57</v>
      </c>
      <c r="J74">
        <v>3.58</v>
      </c>
      <c r="K74" t="s">
        <v>29</v>
      </c>
      <c r="L74" t="s">
        <v>20</v>
      </c>
      <c r="M74" t="s">
        <v>27</v>
      </c>
      <c r="N74" t="s">
        <v>21</v>
      </c>
      <c r="O74" t="s">
        <v>19</v>
      </c>
      <c r="P74">
        <v>1234</v>
      </c>
      <c r="Q74" t="s">
        <v>22</v>
      </c>
      <c r="R74" t="s">
        <v>253</v>
      </c>
      <c r="S74">
        <v>123456789</v>
      </c>
    </row>
    <row r="75" spans="1:19" x14ac:dyDescent="0.25">
      <c r="A75">
        <v>12345678</v>
      </c>
      <c r="B75" t="s">
        <v>230</v>
      </c>
      <c r="C75" t="s">
        <v>136</v>
      </c>
      <c r="D75">
        <v>123456</v>
      </c>
      <c r="E75" s="18">
        <v>12334567000189</v>
      </c>
      <c r="F75" t="s">
        <v>252</v>
      </c>
      <c r="G75" t="s">
        <v>24</v>
      </c>
      <c r="H75">
        <v>293.11</v>
      </c>
      <c r="I75">
        <v>281.83</v>
      </c>
      <c r="J75">
        <v>11.28</v>
      </c>
      <c r="K75" t="s">
        <v>29</v>
      </c>
      <c r="L75" t="s">
        <v>20</v>
      </c>
      <c r="M75" t="s">
        <v>28</v>
      </c>
      <c r="N75" t="s">
        <v>21</v>
      </c>
      <c r="O75" t="s">
        <v>19</v>
      </c>
      <c r="P75">
        <v>1234</v>
      </c>
      <c r="Q75" t="s">
        <v>22</v>
      </c>
      <c r="R75" t="s">
        <v>253</v>
      </c>
      <c r="S75">
        <v>123456789</v>
      </c>
    </row>
    <row r="76" spans="1:19" x14ac:dyDescent="0.25">
      <c r="A76">
        <v>12345678</v>
      </c>
      <c r="B76" t="s">
        <v>231</v>
      </c>
      <c r="C76" t="s">
        <v>137</v>
      </c>
      <c r="D76">
        <v>123456</v>
      </c>
      <c r="E76" s="18">
        <v>12334567000189</v>
      </c>
      <c r="F76" t="s">
        <v>252</v>
      </c>
      <c r="G76" t="s">
        <v>24</v>
      </c>
      <c r="H76">
        <v>164.65</v>
      </c>
      <c r="I76">
        <v>162.1</v>
      </c>
      <c r="J76">
        <v>2.5499999999999998</v>
      </c>
      <c r="K76" t="s">
        <v>26</v>
      </c>
      <c r="L76" t="s">
        <v>20</v>
      </c>
      <c r="M76" t="s">
        <v>30</v>
      </c>
      <c r="N76" t="s">
        <v>21</v>
      </c>
      <c r="O76" t="s">
        <v>19</v>
      </c>
      <c r="P76">
        <v>1234</v>
      </c>
      <c r="Q76" t="s">
        <v>22</v>
      </c>
      <c r="R76" t="s">
        <v>253</v>
      </c>
      <c r="S76">
        <v>123456789</v>
      </c>
    </row>
    <row r="77" spans="1:19" x14ac:dyDescent="0.25">
      <c r="A77">
        <v>12345678</v>
      </c>
      <c r="B77" t="s">
        <v>232</v>
      </c>
      <c r="C77" t="s">
        <v>138</v>
      </c>
      <c r="D77">
        <v>123456</v>
      </c>
      <c r="E77" s="18">
        <v>12334567000189</v>
      </c>
      <c r="F77" t="s">
        <v>252</v>
      </c>
      <c r="G77" t="s">
        <v>24</v>
      </c>
      <c r="H77">
        <v>127.25</v>
      </c>
      <c r="I77">
        <v>125.48</v>
      </c>
      <c r="J77">
        <v>1.77</v>
      </c>
      <c r="K77" t="s">
        <v>23</v>
      </c>
      <c r="L77" t="s">
        <v>20</v>
      </c>
      <c r="M77" t="s">
        <v>25</v>
      </c>
      <c r="N77" t="s">
        <v>21</v>
      </c>
      <c r="O77" t="s">
        <v>19</v>
      </c>
      <c r="P77">
        <v>1234</v>
      </c>
      <c r="Q77" t="s">
        <v>22</v>
      </c>
      <c r="R77" t="s">
        <v>253</v>
      </c>
      <c r="S77">
        <v>123456789</v>
      </c>
    </row>
    <row r="78" spans="1:19" x14ac:dyDescent="0.25">
      <c r="A78">
        <v>12345678</v>
      </c>
      <c r="B78" t="s">
        <v>233</v>
      </c>
      <c r="C78" t="s">
        <v>139</v>
      </c>
      <c r="D78">
        <v>123456</v>
      </c>
      <c r="E78" s="18">
        <v>12334567000189</v>
      </c>
      <c r="F78" t="s">
        <v>252</v>
      </c>
      <c r="G78" t="s">
        <v>24</v>
      </c>
      <c r="H78">
        <v>80</v>
      </c>
      <c r="I78">
        <v>76.92</v>
      </c>
      <c r="J78">
        <v>3.08</v>
      </c>
      <c r="K78" t="s">
        <v>29</v>
      </c>
      <c r="L78" t="s">
        <v>20</v>
      </c>
      <c r="M78" t="s">
        <v>27</v>
      </c>
      <c r="N78" t="s">
        <v>21</v>
      </c>
      <c r="O78" t="s">
        <v>19</v>
      </c>
      <c r="P78">
        <v>1234</v>
      </c>
      <c r="Q78" t="s">
        <v>22</v>
      </c>
      <c r="R78" t="s">
        <v>253</v>
      </c>
      <c r="S78">
        <v>123456789</v>
      </c>
    </row>
    <row r="79" spans="1:19" x14ac:dyDescent="0.25">
      <c r="A79">
        <v>12345678</v>
      </c>
      <c r="B79" t="s">
        <v>234</v>
      </c>
      <c r="C79" t="s">
        <v>140</v>
      </c>
      <c r="D79">
        <v>123456</v>
      </c>
      <c r="E79" s="18">
        <v>12334567000189</v>
      </c>
      <c r="F79" t="s">
        <v>252</v>
      </c>
      <c r="G79" t="s">
        <v>24</v>
      </c>
      <c r="H79">
        <v>248.01</v>
      </c>
      <c r="I79">
        <v>244.17</v>
      </c>
      <c r="J79">
        <v>3.84</v>
      </c>
      <c r="K79" t="s">
        <v>26</v>
      </c>
      <c r="L79" t="s">
        <v>20</v>
      </c>
      <c r="M79" t="s">
        <v>28</v>
      </c>
      <c r="N79" t="s">
        <v>21</v>
      </c>
      <c r="O79" t="s">
        <v>19</v>
      </c>
      <c r="P79">
        <v>1234</v>
      </c>
      <c r="Q79" t="s">
        <v>22</v>
      </c>
      <c r="R79" t="s">
        <v>253</v>
      </c>
      <c r="S79">
        <v>123456789</v>
      </c>
    </row>
    <row r="80" spans="1:19" x14ac:dyDescent="0.25">
      <c r="A80">
        <v>12345678</v>
      </c>
      <c r="B80" t="s">
        <v>235</v>
      </c>
      <c r="C80" t="s">
        <v>141</v>
      </c>
      <c r="D80">
        <v>123456</v>
      </c>
      <c r="E80" s="18">
        <v>12334567000189</v>
      </c>
      <c r="F80" t="s">
        <v>252</v>
      </c>
      <c r="G80" t="s">
        <v>24</v>
      </c>
      <c r="H80">
        <v>73</v>
      </c>
      <c r="I80">
        <v>70.19</v>
      </c>
      <c r="J80">
        <v>2.81</v>
      </c>
      <c r="K80" t="s">
        <v>29</v>
      </c>
      <c r="L80" t="s">
        <v>20</v>
      </c>
      <c r="M80" t="s">
        <v>30</v>
      </c>
      <c r="N80" t="s">
        <v>21</v>
      </c>
      <c r="O80" t="s">
        <v>19</v>
      </c>
      <c r="P80">
        <v>1234</v>
      </c>
      <c r="Q80" t="s">
        <v>22</v>
      </c>
      <c r="R80" t="s">
        <v>253</v>
      </c>
      <c r="S80">
        <v>123456789</v>
      </c>
    </row>
    <row r="81" spans="1:19" x14ac:dyDescent="0.25">
      <c r="A81">
        <v>12345678</v>
      </c>
      <c r="B81" t="s">
        <v>236</v>
      </c>
      <c r="C81" t="s">
        <v>142</v>
      </c>
      <c r="D81">
        <v>123456</v>
      </c>
      <c r="E81" s="18">
        <v>12334567000189</v>
      </c>
      <c r="F81" t="s">
        <v>252</v>
      </c>
      <c r="G81" t="s">
        <v>24</v>
      </c>
      <c r="H81">
        <v>103.27</v>
      </c>
      <c r="I81">
        <v>99.29</v>
      </c>
      <c r="J81">
        <v>3.98</v>
      </c>
      <c r="K81" t="s">
        <v>29</v>
      </c>
      <c r="L81" t="s">
        <v>20</v>
      </c>
      <c r="M81" t="s">
        <v>25</v>
      </c>
      <c r="N81" t="s">
        <v>21</v>
      </c>
      <c r="O81" t="s">
        <v>19</v>
      </c>
      <c r="P81">
        <v>1234</v>
      </c>
      <c r="Q81" t="s">
        <v>22</v>
      </c>
      <c r="R81" t="s">
        <v>253</v>
      </c>
      <c r="S81">
        <v>123456789</v>
      </c>
    </row>
    <row r="82" spans="1:19" x14ac:dyDescent="0.25">
      <c r="A82">
        <v>12345678</v>
      </c>
      <c r="B82" t="s">
        <v>237</v>
      </c>
      <c r="C82" t="s">
        <v>143</v>
      </c>
      <c r="D82">
        <v>123456</v>
      </c>
      <c r="E82" s="18">
        <v>12334567000189</v>
      </c>
      <c r="F82" t="s">
        <v>252</v>
      </c>
      <c r="G82" t="s">
        <v>24</v>
      </c>
      <c r="H82">
        <v>103.27</v>
      </c>
      <c r="I82">
        <v>99.29</v>
      </c>
      <c r="J82">
        <v>3.98</v>
      </c>
      <c r="K82" t="s">
        <v>29</v>
      </c>
      <c r="L82" t="s">
        <v>20</v>
      </c>
      <c r="M82" t="s">
        <v>27</v>
      </c>
      <c r="N82" t="s">
        <v>21</v>
      </c>
      <c r="O82" t="s">
        <v>19</v>
      </c>
      <c r="P82">
        <v>1234</v>
      </c>
      <c r="Q82" t="s">
        <v>22</v>
      </c>
      <c r="R82" t="s">
        <v>253</v>
      </c>
      <c r="S82">
        <v>123456789</v>
      </c>
    </row>
    <row r="83" spans="1:19" x14ac:dyDescent="0.25">
      <c r="A83">
        <v>12345678</v>
      </c>
      <c r="B83" t="s">
        <v>238</v>
      </c>
      <c r="C83" t="s">
        <v>144</v>
      </c>
      <c r="D83">
        <v>123456</v>
      </c>
      <c r="E83" s="18">
        <v>12334567000189</v>
      </c>
      <c r="F83" t="s">
        <v>252</v>
      </c>
      <c r="G83" t="s">
        <v>24</v>
      </c>
      <c r="H83">
        <v>245.2</v>
      </c>
      <c r="I83">
        <v>241.4</v>
      </c>
      <c r="J83">
        <v>3.8</v>
      </c>
      <c r="K83" t="s">
        <v>26</v>
      </c>
      <c r="L83" t="s">
        <v>20</v>
      </c>
      <c r="M83" t="s">
        <v>28</v>
      </c>
      <c r="N83" t="s">
        <v>21</v>
      </c>
      <c r="O83" t="s">
        <v>19</v>
      </c>
      <c r="P83">
        <v>1234</v>
      </c>
      <c r="Q83" t="s">
        <v>22</v>
      </c>
      <c r="R83" t="s">
        <v>253</v>
      </c>
      <c r="S83">
        <v>123456789</v>
      </c>
    </row>
    <row r="84" spans="1:19" x14ac:dyDescent="0.25">
      <c r="A84">
        <v>12345678</v>
      </c>
      <c r="B84" t="s">
        <v>239</v>
      </c>
      <c r="C84" t="s">
        <v>145</v>
      </c>
      <c r="D84">
        <v>123456</v>
      </c>
      <c r="E84" s="18">
        <v>12334567000189</v>
      </c>
      <c r="F84" t="s">
        <v>252</v>
      </c>
      <c r="G84" t="s">
        <v>24</v>
      </c>
      <c r="H84">
        <v>103.25</v>
      </c>
      <c r="I84">
        <v>99.27</v>
      </c>
      <c r="J84">
        <v>3.98</v>
      </c>
      <c r="K84" t="s">
        <v>29</v>
      </c>
      <c r="L84" t="s">
        <v>20</v>
      </c>
      <c r="M84" t="s">
        <v>30</v>
      </c>
      <c r="N84" t="s">
        <v>21</v>
      </c>
      <c r="O84" t="s">
        <v>19</v>
      </c>
      <c r="P84">
        <v>1234</v>
      </c>
      <c r="Q84" t="s">
        <v>22</v>
      </c>
      <c r="R84" t="s">
        <v>253</v>
      </c>
      <c r="S84">
        <v>123456789</v>
      </c>
    </row>
    <row r="85" spans="1:19" x14ac:dyDescent="0.25">
      <c r="A85">
        <v>12345678</v>
      </c>
      <c r="B85" t="s">
        <v>240</v>
      </c>
      <c r="C85" t="s">
        <v>146</v>
      </c>
      <c r="D85">
        <v>123456</v>
      </c>
      <c r="E85" s="18">
        <v>12334567000189</v>
      </c>
      <c r="F85" t="s">
        <v>252</v>
      </c>
      <c r="G85" t="s">
        <v>24</v>
      </c>
      <c r="H85">
        <v>13</v>
      </c>
      <c r="I85">
        <v>12.8</v>
      </c>
      <c r="J85">
        <v>0.2</v>
      </c>
      <c r="K85" t="s">
        <v>26</v>
      </c>
      <c r="L85" t="s">
        <v>20</v>
      </c>
      <c r="M85" t="s">
        <v>25</v>
      </c>
      <c r="N85" t="s">
        <v>21</v>
      </c>
      <c r="O85" t="s">
        <v>19</v>
      </c>
      <c r="P85">
        <v>1234</v>
      </c>
      <c r="Q85" t="s">
        <v>22</v>
      </c>
      <c r="R85" t="s">
        <v>253</v>
      </c>
      <c r="S85">
        <v>123456789</v>
      </c>
    </row>
    <row r="86" spans="1:19" x14ac:dyDescent="0.25">
      <c r="A86">
        <v>12345678</v>
      </c>
      <c r="B86" t="s">
        <v>241</v>
      </c>
      <c r="C86" t="s">
        <v>147</v>
      </c>
      <c r="D86">
        <v>123456</v>
      </c>
      <c r="E86" s="18">
        <v>12334567000189</v>
      </c>
      <c r="F86" t="s">
        <v>252</v>
      </c>
      <c r="G86" t="s">
        <v>24</v>
      </c>
      <c r="H86">
        <v>74.5</v>
      </c>
      <c r="I86">
        <v>71.63</v>
      </c>
      <c r="J86">
        <v>2.87</v>
      </c>
      <c r="K86" t="s">
        <v>29</v>
      </c>
      <c r="L86" t="s">
        <v>20</v>
      </c>
      <c r="M86" t="s">
        <v>27</v>
      </c>
      <c r="N86" t="s">
        <v>21</v>
      </c>
      <c r="O86" t="s">
        <v>19</v>
      </c>
      <c r="P86">
        <v>1234</v>
      </c>
      <c r="Q86" t="s">
        <v>22</v>
      </c>
      <c r="R86" t="s">
        <v>253</v>
      </c>
      <c r="S86">
        <v>123456789</v>
      </c>
    </row>
    <row r="87" spans="1:19" x14ac:dyDescent="0.25">
      <c r="A87">
        <v>12345678</v>
      </c>
      <c r="B87" t="s">
        <v>242</v>
      </c>
      <c r="C87" t="s">
        <v>148</v>
      </c>
      <c r="D87">
        <v>123456</v>
      </c>
      <c r="E87" s="18">
        <v>12334567000189</v>
      </c>
      <c r="F87" t="s">
        <v>252</v>
      </c>
      <c r="G87" t="s">
        <v>24</v>
      </c>
      <c r="H87">
        <v>97.1</v>
      </c>
      <c r="I87">
        <v>93.36</v>
      </c>
      <c r="J87">
        <v>3.74</v>
      </c>
      <c r="K87" t="s">
        <v>29</v>
      </c>
      <c r="L87" t="s">
        <v>20</v>
      </c>
      <c r="M87" t="s">
        <v>28</v>
      </c>
      <c r="N87" t="s">
        <v>21</v>
      </c>
      <c r="O87" t="s">
        <v>19</v>
      </c>
      <c r="P87">
        <v>1234</v>
      </c>
      <c r="Q87" t="s">
        <v>22</v>
      </c>
      <c r="R87" t="s">
        <v>253</v>
      </c>
      <c r="S87">
        <v>123456789</v>
      </c>
    </row>
    <row r="88" spans="1:19" x14ac:dyDescent="0.25">
      <c r="A88">
        <v>12345678</v>
      </c>
      <c r="B88" t="s">
        <v>243</v>
      </c>
      <c r="C88" t="s">
        <v>149</v>
      </c>
      <c r="D88">
        <v>123456</v>
      </c>
      <c r="E88" s="18">
        <v>12334567000189</v>
      </c>
      <c r="F88" t="s">
        <v>252</v>
      </c>
      <c r="G88" t="s">
        <v>24</v>
      </c>
      <c r="H88">
        <v>114.05</v>
      </c>
      <c r="I88">
        <v>112.47</v>
      </c>
      <c r="J88">
        <v>1.58</v>
      </c>
      <c r="K88" t="s">
        <v>23</v>
      </c>
      <c r="L88" t="s">
        <v>20</v>
      </c>
      <c r="M88" t="s">
        <v>30</v>
      </c>
      <c r="N88" t="s">
        <v>21</v>
      </c>
      <c r="O88" t="s">
        <v>19</v>
      </c>
      <c r="P88">
        <v>1234</v>
      </c>
      <c r="Q88" t="s">
        <v>22</v>
      </c>
      <c r="R88" t="s">
        <v>253</v>
      </c>
      <c r="S88">
        <v>123456789</v>
      </c>
    </row>
    <row r="89" spans="1:19" x14ac:dyDescent="0.25">
      <c r="A89">
        <v>12345678</v>
      </c>
      <c r="B89" t="s">
        <v>244</v>
      </c>
      <c r="C89" t="s">
        <v>150</v>
      </c>
      <c r="D89">
        <v>123456</v>
      </c>
      <c r="E89" s="18">
        <v>12334567000189</v>
      </c>
      <c r="F89" t="s">
        <v>252</v>
      </c>
      <c r="G89" t="s">
        <v>24</v>
      </c>
      <c r="H89">
        <v>20</v>
      </c>
      <c r="I89">
        <v>19.23</v>
      </c>
      <c r="J89">
        <v>0.77</v>
      </c>
      <c r="K89" t="s">
        <v>29</v>
      </c>
      <c r="L89" t="s">
        <v>20</v>
      </c>
      <c r="M89" t="s">
        <v>25</v>
      </c>
      <c r="N89" t="s">
        <v>21</v>
      </c>
      <c r="O89" t="s">
        <v>19</v>
      </c>
      <c r="P89">
        <v>1234</v>
      </c>
      <c r="Q89" t="s">
        <v>22</v>
      </c>
      <c r="R89" t="s">
        <v>253</v>
      </c>
      <c r="S89">
        <v>123456789</v>
      </c>
    </row>
    <row r="90" spans="1:19" x14ac:dyDescent="0.25">
      <c r="A90">
        <v>12345678</v>
      </c>
      <c r="B90" t="s">
        <v>245</v>
      </c>
      <c r="C90" t="s">
        <v>151</v>
      </c>
      <c r="D90">
        <v>123456</v>
      </c>
      <c r="E90" s="18">
        <v>12334567000189</v>
      </c>
      <c r="F90" t="s">
        <v>252</v>
      </c>
      <c r="G90" t="s">
        <v>24</v>
      </c>
      <c r="H90">
        <v>117.35</v>
      </c>
      <c r="I90">
        <v>112.83</v>
      </c>
      <c r="J90">
        <v>4.5199999999999996</v>
      </c>
      <c r="K90" t="s">
        <v>29</v>
      </c>
      <c r="L90" t="s">
        <v>20</v>
      </c>
      <c r="M90" t="s">
        <v>27</v>
      </c>
      <c r="N90" t="s">
        <v>21</v>
      </c>
      <c r="O90" t="s">
        <v>19</v>
      </c>
      <c r="P90">
        <v>1234</v>
      </c>
      <c r="Q90" t="s">
        <v>22</v>
      </c>
      <c r="R90" t="s">
        <v>253</v>
      </c>
      <c r="S90">
        <v>123456789</v>
      </c>
    </row>
    <row r="91" spans="1:19" x14ac:dyDescent="0.25">
      <c r="A91">
        <v>12345678</v>
      </c>
      <c r="B91" t="s">
        <v>246</v>
      </c>
      <c r="C91" t="s">
        <v>152</v>
      </c>
      <c r="D91">
        <v>123456</v>
      </c>
      <c r="E91" s="18">
        <v>12334567000189</v>
      </c>
      <c r="F91" t="s">
        <v>252</v>
      </c>
      <c r="G91" t="s">
        <v>24</v>
      </c>
      <c r="H91">
        <v>238.77</v>
      </c>
      <c r="I91">
        <v>235.07</v>
      </c>
      <c r="J91">
        <v>3.7</v>
      </c>
      <c r="K91" t="s">
        <v>26</v>
      </c>
      <c r="L91" t="s">
        <v>20</v>
      </c>
      <c r="M91" t="s">
        <v>28</v>
      </c>
      <c r="N91" t="s">
        <v>21</v>
      </c>
      <c r="O91" t="s">
        <v>19</v>
      </c>
      <c r="P91">
        <v>1234</v>
      </c>
      <c r="Q91" t="s">
        <v>22</v>
      </c>
      <c r="R91" t="s">
        <v>253</v>
      </c>
      <c r="S91">
        <v>123456789</v>
      </c>
    </row>
    <row r="92" spans="1:19" x14ac:dyDescent="0.25">
      <c r="A92">
        <v>12345678</v>
      </c>
      <c r="B92" t="s">
        <v>247</v>
      </c>
      <c r="C92" t="s">
        <v>153</v>
      </c>
      <c r="D92">
        <v>123456</v>
      </c>
      <c r="E92" s="18">
        <v>12334567000189</v>
      </c>
      <c r="F92" t="s">
        <v>252</v>
      </c>
      <c r="G92" t="s">
        <v>24</v>
      </c>
      <c r="H92">
        <v>20</v>
      </c>
      <c r="I92">
        <v>19.690000000000001</v>
      </c>
      <c r="J92">
        <v>0.31</v>
      </c>
      <c r="K92" t="s">
        <v>26</v>
      </c>
      <c r="L92" t="s">
        <v>20</v>
      </c>
      <c r="M92" t="s">
        <v>30</v>
      </c>
      <c r="N92" t="s">
        <v>21</v>
      </c>
      <c r="O92" t="s">
        <v>19</v>
      </c>
      <c r="P92">
        <v>1234</v>
      </c>
      <c r="Q92" t="s">
        <v>22</v>
      </c>
      <c r="R92" t="s">
        <v>253</v>
      </c>
      <c r="S92">
        <v>123456789</v>
      </c>
    </row>
    <row r="93" spans="1:19" x14ac:dyDescent="0.25">
      <c r="A93">
        <v>12345678</v>
      </c>
      <c r="B93" t="s">
        <v>248</v>
      </c>
      <c r="C93" t="s">
        <v>154</v>
      </c>
      <c r="D93">
        <v>123456</v>
      </c>
      <c r="E93" s="18">
        <v>12334567000189</v>
      </c>
      <c r="F93" t="s">
        <v>252</v>
      </c>
      <c r="G93" t="s">
        <v>24</v>
      </c>
      <c r="H93">
        <v>130</v>
      </c>
      <c r="I93">
        <v>124.99</v>
      </c>
      <c r="J93">
        <v>5.01</v>
      </c>
      <c r="K93" t="s">
        <v>29</v>
      </c>
      <c r="L93" t="s">
        <v>20</v>
      </c>
      <c r="M93" t="s">
        <v>25</v>
      </c>
      <c r="N93" t="s">
        <v>21</v>
      </c>
      <c r="O93" t="s">
        <v>19</v>
      </c>
      <c r="P93">
        <v>1234</v>
      </c>
      <c r="Q93" t="s">
        <v>22</v>
      </c>
      <c r="R93" t="s">
        <v>253</v>
      </c>
      <c r="S93">
        <v>123456789</v>
      </c>
    </row>
    <row r="94" spans="1:19" x14ac:dyDescent="0.25">
      <c r="A94">
        <v>12345678</v>
      </c>
      <c r="B94" t="s">
        <v>249</v>
      </c>
      <c r="C94" t="s">
        <v>155</v>
      </c>
      <c r="D94">
        <v>123456</v>
      </c>
      <c r="E94" s="18">
        <v>12334567000189</v>
      </c>
      <c r="F94" t="s">
        <v>252</v>
      </c>
      <c r="G94" t="s">
        <v>24</v>
      </c>
      <c r="H94">
        <v>76.55</v>
      </c>
      <c r="I94">
        <v>75.36</v>
      </c>
      <c r="J94">
        <v>1.19</v>
      </c>
      <c r="K94" t="s">
        <v>26</v>
      </c>
      <c r="L94" t="s">
        <v>20</v>
      </c>
      <c r="M94" t="s">
        <v>27</v>
      </c>
      <c r="N94" t="s">
        <v>21</v>
      </c>
      <c r="O94" t="s">
        <v>19</v>
      </c>
      <c r="P94">
        <v>1234</v>
      </c>
      <c r="Q94" t="s">
        <v>22</v>
      </c>
      <c r="R94" t="s">
        <v>253</v>
      </c>
      <c r="S94">
        <v>123456789</v>
      </c>
    </row>
    <row r="95" spans="1:19" x14ac:dyDescent="0.25">
      <c r="A95">
        <v>12345678</v>
      </c>
      <c r="B95" t="s">
        <v>250</v>
      </c>
      <c r="C95" t="s">
        <v>156</v>
      </c>
      <c r="D95">
        <v>123456</v>
      </c>
      <c r="E95" s="18">
        <v>12334567000189</v>
      </c>
      <c r="F95" t="s">
        <v>252</v>
      </c>
      <c r="G95" t="s">
        <v>24</v>
      </c>
      <c r="H95">
        <v>344.87</v>
      </c>
      <c r="I95">
        <v>331.59</v>
      </c>
      <c r="J95">
        <v>13.28</v>
      </c>
      <c r="K95" t="s">
        <v>29</v>
      </c>
      <c r="L95" t="s">
        <v>20</v>
      </c>
      <c r="M95" t="s">
        <v>28</v>
      </c>
      <c r="N95" t="s">
        <v>21</v>
      </c>
      <c r="O95" t="s">
        <v>19</v>
      </c>
      <c r="P95">
        <v>1234</v>
      </c>
      <c r="Q95" t="s">
        <v>22</v>
      </c>
      <c r="R95" t="s">
        <v>253</v>
      </c>
      <c r="S95">
        <v>123456789</v>
      </c>
    </row>
    <row r="96" spans="1:19" x14ac:dyDescent="0.25">
      <c r="A96">
        <v>12345679</v>
      </c>
      <c r="B96" t="s">
        <v>251</v>
      </c>
      <c r="C96" t="s">
        <v>254</v>
      </c>
      <c r="D96">
        <v>123456</v>
      </c>
      <c r="E96" s="18">
        <v>12334567000189</v>
      </c>
      <c r="F96" t="s">
        <v>252</v>
      </c>
      <c r="G96" t="s">
        <v>24</v>
      </c>
      <c r="H96">
        <v>127.01</v>
      </c>
      <c r="I96">
        <v>127.01</v>
      </c>
      <c r="J96">
        <v>13.28</v>
      </c>
      <c r="K96" t="s">
        <v>23</v>
      </c>
      <c r="L96" t="s">
        <v>20</v>
      </c>
      <c r="M96" t="s">
        <v>28</v>
      </c>
      <c r="N96" t="s">
        <v>21</v>
      </c>
      <c r="O96" t="s">
        <v>19</v>
      </c>
      <c r="P96">
        <v>1235</v>
      </c>
      <c r="Q96" t="s">
        <v>255</v>
      </c>
      <c r="R96" t="s">
        <v>253</v>
      </c>
      <c r="S96">
        <v>123456790</v>
      </c>
    </row>
    <row r="97" spans="3:3" x14ac:dyDescent="0.25">
      <c r="C97" s="16"/>
    </row>
    <row r="98" spans="3:3" x14ac:dyDescent="0.25">
      <c r="C98" s="16"/>
    </row>
    <row r="99" spans="3:3" x14ac:dyDescent="0.25">
      <c r="C99" s="16"/>
    </row>
    <row r="100" spans="3:3" x14ac:dyDescent="0.25">
      <c r="C100" s="16"/>
    </row>
    <row r="101" spans="3:3" x14ac:dyDescent="0.25">
      <c r="C101" s="16"/>
    </row>
    <row r="102" spans="3:3" x14ac:dyDescent="0.25">
      <c r="C102" s="16"/>
    </row>
    <row r="103" spans="3:3" x14ac:dyDescent="0.25">
      <c r="C103" s="16"/>
    </row>
    <row r="104" spans="3:3" x14ac:dyDescent="0.25">
      <c r="C104" s="16"/>
    </row>
    <row r="105" spans="3:3" x14ac:dyDescent="0.25">
      <c r="C105" s="16"/>
    </row>
    <row r="106" spans="3:3" x14ac:dyDescent="0.25">
      <c r="C106" s="16"/>
    </row>
    <row r="107" spans="3:3" x14ac:dyDescent="0.25">
      <c r="C107" s="16"/>
    </row>
    <row r="108" spans="3:3" x14ac:dyDescent="0.25">
      <c r="C108" s="16"/>
    </row>
    <row r="109" spans="3:3" x14ac:dyDescent="0.25">
      <c r="C109" s="16"/>
    </row>
    <row r="110" spans="3:3" x14ac:dyDescent="0.25">
      <c r="C110" s="16"/>
    </row>
    <row r="111" spans="3:3" x14ac:dyDescent="0.25">
      <c r="C111" s="16"/>
    </row>
    <row r="112" spans="3:3" x14ac:dyDescent="0.25">
      <c r="C112" s="16"/>
    </row>
    <row r="113" spans="3:3" x14ac:dyDescent="0.25">
      <c r="C113" s="16"/>
    </row>
    <row r="114" spans="3:3" x14ac:dyDescent="0.25">
      <c r="C114" s="16"/>
    </row>
    <row r="115" spans="3:3" x14ac:dyDescent="0.25">
      <c r="C115" s="16"/>
    </row>
    <row r="116" spans="3:3" x14ac:dyDescent="0.25">
      <c r="C116" s="16"/>
    </row>
    <row r="117" spans="3:3" x14ac:dyDescent="0.25">
      <c r="C117" s="16"/>
    </row>
    <row r="118" spans="3:3" x14ac:dyDescent="0.25">
      <c r="C118" s="16"/>
    </row>
    <row r="119" spans="3:3" x14ac:dyDescent="0.25">
      <c r="C119" s="16"/>
    </row>
    <row r="120" spans="3:3" x14ac:dyDescent="0.25">
      <c r="C120" s="16"/>
    </row>
    <row r="121" spans="3:3" x14ac:dyDescent="0.25">
      <c r="C121" s="16"/>
    </row>
    <row r="122" spans="3:3" x14ac:dyDescent="0.25">
      <c r="C122" s="16"/>
    </row>
    <row r="123" spans="3:3" x14ac:dyDescent="0.25">
      <c r="C123" s="16"/>
    </row>
    <row r="124" spans="3:3" x14ac:dyDescent="0.25">
      <c r="C124" s="16"/>
    </row>
    <row r="125" spans="3:3" x14ac:dyDescent="0.25">
      <c r="C125" s="16"/>
    </row>
    <row r="126" spans="3:3" x14ac:dyDescent="0.25">
      <c r="C126" s="16"/>
    </row>
    <row r="127" spans="3:3" x14ac:dyDescent="0.25">
      <c r="C127" s="16"/>
    </row>
    <row r="128" spans="3:3" x14ac:dyDescent="0.25">
      <c r="C128" s="16"/>
    </row>
    <row r="129" spans="3:3" x14ac:dyDescent="0.25">
      <c r="C129" s="16"/>
    </row>
    <row r="130" spans="3:3" x14ac:dyDescent="0.25">
      <c r="C130" s="16"/>
    </row>
    <row r="131" spans="3:3" x14ac:dyDescent="0.25">
      <c r="C131" s="16"/>
    </row>
    <row r="132" spans="3:3" x14ac:dyDescent="0.25">
      <c r="C132" s="16"/>
    </row>
    <row r="133" spans="3:3" x14ac:dyDescent="0.25">
      <c r="C133" s="16"/>
    </row>
    <row r="134" spans="3:3" x14ac:dyDescent="0.25">
      <c r="C134" s="16"/>
    </row>
    <row r="135" spans="3:3" x14ac:dyDescent="0.25">
      <c r="C135" s="16"/>
    </row>
    <row r="136" spans="3:3" x14ac:dyDescent="0.25">
      <c r="C136" s="16"/>
    </row>
    <row r="137" spans="3:3" x14ac:dyDescent="0.25">
      <c r="C137" s="16"/>
    </row>
    <row r="138" spans="3:3" x14ac:dyDescent="0.25">
      <c r="C138" s="16"/>
    </row>
    <row r="139" spans="3:3" x14ac:dyDescent="0.25">
      <c r="C139" s="16"/>
    </row>
    <row r="140" spans="3:3" x14ac:dyDescent="0.25">
      <c r="C140" s="16"/>
    </row>
    <row r="141" spans="3:3" x14ac:dyDescent="0.25">
      <c r="C141" s="16"/>
    </row>
    <row r="142" spans="3:3" x14ac:dyDescent="0.25">
      <c r="C142" s="16"/>
    </row>
    <row r="143" spans="3:3" x14ac:dyDescent="0.25">
      <c r="C143" s="16"/>
    </row>
    <row r="144" spans="3:3" x14ac:dyDescent="0.25">
      <c r="C144" s="16"/>
    </row>
    <row r="145" spans="3:3" x14ac:dyDescent="0.25">
      <c r="C145" s="16"/>
    </row>
    <row r="146" spans="3:3" x14ac:dyDescent="0.25">
      <c r="C146" s="16"/>
    </row>
    <row r="147" spans="3:3" x14ac:dyDescent="0.25">
      <c r="C147" s="16"/>
    </row>
    <row r="148" spans="3:3" x14ac:dyDescent="0.25">
      <c r="C148" s="16"/>
    </row>
    <row r="149" spans="3:3" x14ac:dyDescent="0.25">
      <c r="C149" s="16"/>
    </row>
    <row r="150" spans="3:3" x14ac:dyDescent="0.25">
      <c r="C150" s="16"/>
    </row>
    <row r="151" spans="3:3" x14ac:dyDescent="0.25">
      <c r="C151" s="16"/>
    </row>
    <row r="152" spans="3:3" x14ac:dyDescent="0.25">
      <c r="C152" s="16"/>
    </row>
    <row r="153" spans="3:3" x14ac:dyDescent="0.25">
      <c r="C153" s="16"/>
    </row>
    <row r="154" spans="3:3" x14ac:dyDescent="0.25">
      <c r="C154" s="16"/>
    </row>
    <row r="155" spans="3:3" x14ac:dyDescent="0.25">
      <c r="C155" s="16"/>
    </row>
    <row r="156" spans="3:3" x14ac:dyDescent="0.25">
      <c r="C156" s="16"/>
    </row>
    <row r="157" spans="3:3" x14ac:dyDescent="0.25">
      <c r="C157" s="16"/>
    </row>
    <row r="158" spans="3:3" x14ac:dyDescent="0.25">
      <c r="C158" s="16"/>
    </row>
    <row r="159" spans="3:3" x14ac:dyDescent="0.25">
      <c r="C159" s="16"/>
    </row>
    <row r="160" spans="3:3" x14ac:dyDescent="0.25">
      <c r="C160" s="16"/>
    </row>
    <row r="161" spans="3:3" x14ac:dyDescent="0.25">
      <c r="C161" s="16"/>
    </row>
    <row r="162" spans="3:3" x14ac:dyDescent="0.25">
      <c r="C162" s="16"/>
    </row>
    <row r="163" spans="3:3" x14ac:dyDescent="0.25">
      <c r="C163" s="16"/>
    </row>
    <row r="164" spans="3:3" x14ac:dyDescent="0.25">
      <c r="C164" s="16"/>
    </row>
    <row r="165" spans="3:3" x14ac:dyDescent="0.25">
      <c r="C165" s="16"/>
    </row>
    <row r="166" spans="3:3" x14ac:dyDescent="0.25">
      <c r="C166" s="16"/>
    </row>
    <row r="167" spans="3:3" x14ac:dyDescent="0.25">
      <c r="C167" s="16"/>
    </row>
    <row r="168" spans="3:3" x14ac:dyDescent="0.25">
      <c r="C168" s="16"/>
    </row>
    <row r="169" spans="3:3" x14ac:dyDescent="0.25">
      <c r="C169" s="16"/>
    </row>
    <row r="170" spans="3:3" x14ac:dyDescent="0.25">
      <c r="C170" s="16"/>
    </row>
    <row r="171" spans="3:3" x14ac:dyDescent="0.25">
      <c r="C171" s="16"/>
    </row>
    <row r="172" spans="3:3" x14ac:dyDescent="0.25">
      <c r="C172" s="16"/>
    </row>
    <row r="173" spans="3:3" x14ac:dyDescent="0.25">
      <c r="C173" s="16"/>
    </row>
    <row r="174" spans="3:3" x14ac:dyDescent="0.25">
      <c r="C174" s="16"/>
    </row>
    <row r="175" spans="3:3" x14ac:dyDescent="0.25">
      <c r="C175" s="16"/>
    </row>
    <row r="176" spans="3:3" x14ac:dyDescent="0.25">
      <c r="C176" s="16"/>
    </row>
    <row r="177" spans="3:3" x14ac:dyDescent="0.25">
      <c r="C177" s="16"/>
    </row>
    <row r="178" spans="3:3" x14ac:dyDescent="0.25">
      <c r="C178" s="16"/>
    </row>
    <row r="179" spans="3:3" x14ac:dyDescent="0.25">
      <c r="C179" s="16"/>
    </row>
    <row r="180" spans="3:3" x14ac:dyDescent="0.25">
      <c r="C180" s="16"/>
    </row>
    <row r="181" spans="3:3" x14ac:dyDescent="0.25">
      <c r="C181" s="16"/>
    </row>
    <row r="182" spans="3:3" x14ac:dyDescent="0.25">
      <c r="C182" s="16"/>
    </row>
    <row r="183" spans="3:3" x14ac:dyDescent="0.25">
      <c r="C183" s="16"/>
    </row>
    <row r="184" spans="3:3" x14ac:dyDescent="0.25">
      <c r="C184" s="16"/>
    </row>
    <row r="185" spans="3:3" x14ac:dyDescent="0.25">
      <c r="C185" s="16"/>
    </row>
    <row r="186" spans="3:3" x14ac:dyDescent="0.25">
      <c r="C186" s="16"/>
    </row>
    <row r="187" spans="3:3" x14ac:dyDescent="0.25">
      <c r="C187" s="16"/>
    </row>
    <row r="188" spans="3:3" x14ac:dyDescent="0.25">
      <c r="C188" s="16"/>
    </row>
    <row r="189" spans="3:3" x14ac:dyDescent="0.25">
      <c r="C189" s="16"/>
    </row>
    <row r="190" spans="3:3" x14ac:dyDescent="0.25">
      <c r="C190" s="16"/>
    </row>
    <row r="191" spans="3:3" x14ac:dyDescent="0.25">
      <c r="C191" s="16"/>
    </row>
    <row r="192" spans="3:3" x14ac:dyDescent="0.25">
      <c r="C192" s="16"/>
    </row>
    <row r="193" spans="3:3" x14ac:dyDescent="0.25">
      <c r="C193" s="16"/>
    </row>
    <row r="194" spans="3:3" x14ac:dyDescent="0.25">
      <c r="C194" s="16"/>
    </row>
    <row r="195" spans="3:3" x14ac:dyDescent="0.25">
      <c r="C195" s="16"/>
    </row>
    <row r="196" spans="3:3" x14ac:dyDescent="0.25">
      <c r="C196" s="16"/>
    </row>
    <row r="197" spans="3:3" x14ac:dyDescent="0.25">
      <c r="C197" s="16"/>
    </row>
    <row r="198" spans="3:3" x14ac:dyDescent="0.25">
      <c r="C198" s="16"/>
    </row>
    <row r="199" spans="3:3" x14ac:dyDescent="0.25">
      <c r="C199" s="16"/>
    </row>
    <row r="200" spans="3:3" x14ac:dyDescent="0.25">
      <c r="C200" s="16"/>
    </row>
    <row r="201" spans="3:3" x14ac:dyDescent="0.25">
      <c r="C201" s="16"/>
    </row>
    <row r="202" spans="3:3" x14ac:dyDescent="0.25">
      <c r="C202" s="16"/>
    </row>
    <row r="203" spans="3:3" x14ac:dyDescent="0.25">
      <c r="C203" s="16"/>
    </row>
    <row r="204" spans="3:3" x14ac:dyDescent="0.25">
      <c r="C204" s="16"/>
    </row>
    <row r="205" spans="3:3" x14ac:dyDescent="0.25">
      <c r="C205" s="16"/>
    </row>
    <row r="206" spans="3:3" x14ac:dyDescent="0.25">
      <c r="C206" s="16"/>
    </row>
    <row r="207" spans="3:3" x14ac:dyDescent="0.25">
      <c r="C207" s="16"/>
    </row>
    <row r="208" spans="3:3" x14ac:dyDescent="0.25">
      <c r="C208" s="16"/>
    </row>
    <row r="209" spans="3:3" x14ac:dyDescent="0.25">
      <c r="C209" s="16"/>
    </row>
    <row r="210" spans="3:3" x14ac:dyDescent="0.25">
      <c r="C210" s="16"/>
    </row>
    <row r="211" spans="3:3" x14ac:dyDescent="0.25">
      <c r="C211" s="16"/>
    </row>
    <row r="212" spans="3:3" x14ac:dyDescent="0.25">
      <c r="C212" s="16"/>
    </row>
    <row r="213" spans="3:3" x14ac:dyDescent="0.25">
      <c r="C213" s="16"/>
    </row>
    <row r="214" spans="3:3" x14ac:dyDescent="0.25">
      <c r="C214" s="16"/>
    </row>
    <row r="215" spans="3:3" x14ac:dyDescent="0.25">
      <c r="C215" s="16"/>
    </row>
    <row r="216" spans="3:3" x14ac:dyDescent="0.25">
      <c r="C216" s="16"/>
    </row>
    <row r="217" spans="3:3" x14ac:dyDescent="0.25">
      <c r="C217" s="16"/>
    </row>
    <row r="218" spans="3:3" x14ac:dyDescent="0.25">
      <c r="C218" s="16"/>
    </row>
    <row r="219" spans="3:3" x14ac:dyDescent="0.25">
      <c r="C219" s="16"/>
    </row>
    <row r="220" spans="3:3" x14ac:dyDescent="0.25">
      <c r="C220" s="16"/>
    </row>
    <row r="221" spans="3:3" x14ac:dyDescent="0.25">
      <c r="C221" s="16"/>
    </row>
    <row r="222" spans="3:3" x14ac:dyDescent="0.25">
      <c r="C222" s="16"/>
    </row>
    <row r="223" spans="3:3" x14ac:dyDescent="0.25">
      <c r="C223" s="16"/>
    </row>
    <row r="224" spans="3:3" x14ac:dyDescent="0.25">
      <c r="C224" s="16"/>
    </row>
    <row r="225" spans="3:3" x14ac:dyDescent="0.25">
      <c r="C225" s="16"/>
    </row>
    <row r="226" spans="3:3" x14ac:dyDescent="0.25">
      <c r="C226" s="16"/>
    </row>
    <row r="227" spans="3:3" x14ac:dyDescent="0.25">
      <c r="C227" s="16"/>
    </row>
    <row r="228" spans="3:3" x14ac:dyDescent="0.25">
      <c r="C228" s="16"/>
    </row>
    <row r="229" spans="3:3" x14ac:dyDescent="0.25">
      <c r="C229" s="16"/>
    </row>
    <row r="230" spans="3:3" x14ac:dyDescent="0.25">
      <c r="C230" s="16"/>
    </row>
    <row r="231" spans="3:3" x14ac:dyDescent="0.25">
      <c r="C231" s="16"/>
    </row>
    <row r="232" spans="3:3" x14ac:dyDescent="0.25">
      <c r="C232" s="16"/>
    </row>
    <row r="233" spans="3:3" x14ac:dyDescent="0.25">
      <c r="C233" s="16"/>
    </row>
    <row r="234" spans="3:3" x14ac:dyDescent="0.25">
      <c r="C234" s="16"/>
    </row>
    <row r="235" spans="3:3" x14ac:dyDescent="0.25">
      <c r="C235" s="16"/>
    </row>
    <row r="236" spans="3:3" x14ac:dyDescent="0.25">
      <c r="C236" s="16"/>
    </row>
    <row r="237" spans="3:3" x14ac:dyDescent="0.25">
      <c r="C237" s="16"/>
    </row>
    <row r="238" spans="3:3" x14ac:dyDescent="0.25">
      <c r="C238" s="16"/>
    </row>
    <row r="239" spans="3:3" x14ac:dyDescent="0.25">
      <c r="C239" s="16"/>
    </row>
    <row r="240" spans="3:3" x14ac:dyDescent="0.25">
      <c r="C240" s="16"/>
    </row>
  </sheetData>
  <phoneticPr fontId="9" type="noConversion"/>
  <pageMargins left="0.7" right="0.7" top="0.75" bottom="0.75" header="0.3" footer="0.3"/>
  <pageSetup paperSize="159" orientation="portrait" horizontalDpi="203" verticalDpi="20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8"/>
  <sheetViews>
    <sheetView workbookViewId="0">
      <selection activeCell="E18" sqref="E18"/>
    </sheetView>
  </sheetViews>
  <sheetFormatPr defaultRowHeight="15" x14ac:dyDescent="0.25"/>
  <cols>
    <col min="1" max="1" width="18.5703125" style="1" customWidth="1"/>
    <col min="2" max="2" width="21.85546875" style="1" customWidth="1"/>
    <col min="3" max="3" width="21.5703125" style="1" customWidth="1"/>
    <col min="4" max="16384" width="9.140625" style="1"/>
  </cols>
  <sheetData>
    <row r="1" spans="1:3" x14ac:dyDescent="0.25">
      <c r="A1" s="15" t="s">
        <v>37</v>
      </c>
      <c r="B1" s="1" t="s">
        <v>36</v>
      </c>
      <c r="C1" s="1" t="s">
        <v>35</v>
      </c>
    </row>
    <row r="2" spans="1:3" x14ac:dyDescent="0.25">
      <c r="A2" s="3">
        <v>46170.88958333333</v>
      </c>
      <c r="B2" s="1" t="s">
        <v>32</v>
      </c>
      <c r="C2" s="2">
        <v>193.45</v>
      </c>
    </row>
    <row r="3" spans="1:3" x14ac:dyDescent="0.25">
      <c r="A3" s="3">
        <v>46170.92083333333</v>
      </c>
      <c r="B3" s="1" t="s">
        <v>34</v>
      </c>
      <c r="C3" s="2">
        <v>15</v>
      </c>
    </row>
    <row r="4" spans="1:3" x14ac:dyDescent="0.25">
      <c r="A4" s="3">
        <v>46170.941666666666</v>
      </c>
      <c r="B4" s="1" t="s">
        <v>33</v>
      </c>
      <c r="C4" s="2">
        <v>125.4</v>
      </c>
    </row>
    <row r="5" spans="1:3" x14ac:dyDescent="0.25">
      <c r="A5" s="3">
        <v>46170.946527777778</v>
      </c>
      <c r="B5" s="1" t="s">
        <v>32</v>
      </c>
      <c r="C5" s="2">
        <v>32.799999999999997</v>
      </c>
    </row>
    <row r="6" spans="1:3" x14ac:dyDescent="0.25">
      <c r="A6" s="3">
        <v>46170.966666666667</v>
      </c>
      <c r="B6" s="1" t="s">
        <v>34</v>
      </c>
      <c r="C6" s="2">
        <v>50.9</v>
      </c>
    </row>
    <row r="7" spans="1:3" x14ac:dyDescent="0.25">
      <c r="A7" s="3">
        <v>46170.97152777778</v>
      </c>
      <c r="B7" s="1" t="s">
        <v>34</v>
      </c>
      <c r="C7" s="2">
        <v>266.02999999999997</v>
      </c>
    </row>
    <row r="8" spans="1:3" x14ac:dyDescent="0.25">
      <c r="A8" s="3">
        <v>46170.973611111112</v>
      </c>
      <c r="B8" s="1" t="s">
        <v>34</v>
      </c>
      <c r="C8" s="2">
        <v>257.33999999999997</v>
      </c>
    </row>
    <row r="9" spans="1:3" x14ac:dyDescent="0.25">
      <c r="A9" s="3">
        <v>46170.978472222225</v>
      </c>
      <c r="B9" s="1" t="s">
        <v>34</v>
      </c>
      <c r="C9" s="2">
        <v>68.25</v>
      </c>
    </row>
    <row r="10" spans="1:3" x14ac:dyDescent="0.25">
      <c r="A10" s="3">
        <v>46170.979861111111</v>
      </c>
      <c r="B10" s="1" t="s">
        <v>32</v>
      </c>
      <c r="C10" s="2">
        <v>51.35</v>
      </c>
    </row>
    <row r="11" spans="1:3" x14ac:dyDescent="0.25">
      <c r="A11" s="3">
        <v>46170.993055555555</v>
      </c>
      <c r="B11" s="1" t="s">
        <v>33</v>
      </c>
      <c r="C11" s="2">
        <v>30</v>
      </c>
    </row>
    <row r="12" spans="1:3" x14ac:dyDescent="0.25">
      <c r="A12" s="3">
        <v>46170.99722222222</v>
      </c>
      <c r="B12" s="1" t="s">
        <v>34</v>
      </c>
      <c r="C12" s="2">
        <v>70.150000000000006</v>
      </c>
    </row>
    <row r="13" spans="1:3" x14ac:dyDescent="0.25">
      <c r="A13" s="3">
        <v>46171.000694444447</v>
      </c>
      <c r="B13" s="1" t="s">
        <v>34</v>
      </c>
      <c r="C13" s="2">
        <v>30</v>
      </c>
    </row>
    <row r="14" spans="1:3" x14ac:dyDescent="0.25">
      <c r="A14" s="3">
        <v>46171.006249999999</v>
      </c>
      <c r="B14" s="1" t="s">
        <v>34</v>
      </c>
      <c r="C14" s="2">
        <v>77.7</v>
      </c>
    </row>
    <row r="15" spans="1:3" x14ac:dyDescent="0.25">
      <c r="A15" s="3">
        <v>46171.018055555556</v>
      </c>
      <c r="B15" s="1" t="s">
        <v>34</v>
      </c>
      <c r="C15" s="2">
        <v>56.4</v>
      </c>
    </row>
    <row r="16" spans="1:3" x14ac:dyDescent="0.25">
      <c r="A16" s="3">
        <v>46171.022222222222</v>
      </c>
      <c r="B16" s="1" t="s">
        <v>34</v>
      </c>
      <c r="C16" s="2">
        <v>30</v>
      </c>
    </row>
    <row r="17" spans="1:3" x14ac:dyDescent="0.25">
      <c r="A17" s="3">
        <v>46171.025694444441</v>
      </c>
      <c r="B17" s="1" t="s">
        <v>32</v>
      </c>
      <c r="C17" s="2">
        <v>86.65</v>
      </c>
    </row>
    <row r="18" spans="1:3" x14ac:dyDescent="0.25">
      <c r="A18" s="3">
        <v>46171.027777777781</v>
      </c>
      <c r="B18" s="1" t="s">
        <v>33</v>
      </c>
      <c r="C18" s="2">
        <v>98.75</v>
      </c>
    </row>
    <row r="19" spans="1:3" x14ac:dyDescent="0.25">
      <c r="A19" s="3">
        <v>46171.030555555553</v>
      </c>
      <c r="B19" s="1" t="s">
        <v>34</v>
      </c>
      <c r="C19" s="2">
        <v>72.400000000000006</v>
      </c>
    </row>
    <row r="20" spans="1:3" x14ac:dyDescent="0.25">
      <c r="A20" s="3">
        <v>46171.048611111109</v>
      </c>
      <c r="B20" s="1" t="s">
        <v>34</v>
      </c>
      <c r="C20" s="2">
        <v>330.75</v>
      </c>
    </row>
    <row r="21" spans="1:3" x14ac:dyDescent="0.25">
      <c r="A21" s="3">
        <v>46171.05972222222</v>
      </c>
      <c r="B21" s="1" t="s">
        <v>34</v>
      </c>
      <c r="C21" s="2">
        <v>47.82</v>
      </c>
    </row>
    <row r="22" spans="1:3" x14ac:dyDescent="0.25">
      <c r="A22" s="3">
        <v>46171.061805555553</v>
      </c>
      <c r="B22" s="1" t="s">
        <v>34</v>
      </c>
      <c r="C22" s="2">
        <v>78.7</v>
      </c>
    </row>
    <row r="23" spans="1:3" x14ac:dyDescent="0.25">
      <c r="A23" s="3">
        <v>46171.064583333333</v>
      </c>
      <c r="B23" s="1" t="s">
        <v>32</v>
      </c>
      <c r="C23" s="2">
        <v>62.04</v>
      </c>
    </row>
    <row r="24" spans="1:3" x14ac:dyDescent="0.25">
      <c r="A24" s="3">
        <v>46171.071527777778</v>
      </c>
      <c r="B24" s="1" t="s">
        <v>32</v>
      </c>
      <c r="C24" s="2">
        <v>63</v>
      </c>
    </row>
    <row r="25" spans="1:3" x14ac:dyDescent="0.25">
      <c r="A25" s="3">
        <v>46171.072916666664</v>
      </c>
      <c r="B25" s="1" t="s">
        <v>34</v>
      </c>
      <c r="C25" s="2">
        <v>329.2</v>
      </c>
    </row>
    <row r="26" spans="1:3" x14ac:dyDescent="0.25">
      <c r="A26" s="3">
        <v>46171.07916666667</v>
      </c>
      <c r="B26" s="1" t="s">
        <v>34</v>
      </c>
      <c r="C26" s="2">
        <v>190.82</v>
      </c>
    </row>
    <row r="27" spans="1:3" x14ac:dyDescent="0.25">
      <c r="A27" s="3">
        <v>46171.079861111109</v>
      </c>
      <c r="B27" s="1" t="s">
        <v>33</v>
      </c>
      <c r="C27" s="2">
        <v>190.82</v>
      </c>
    </row>
    <row r="28" spans="1:3" x14ac:dyDescent="0.25">
      <c r="A28" s="3">
        <v>46171.080555555556</v>
      </c>
      <c r="B28" s="1" t="s">
        <v>34</v>
      </c>
      <c r="C28" s="2">
        <v>57.5</v>
      </c>
    </row>
    <row r="29" spans="1:3" x14ac:dyDescent="0.25">
      <c r="A29" s="3">
        <v>46171.081250000003</v>
      </c>
      <c r="B29" s="1" t="s">
        <v>32</v>
      </c>
      <c r="C29" s="2">
        <v>105.35</v>
      </c>
    </row>
    <row r="30" spans="1:3" x14ac:dyDescent="0.25">
      <c r="A30" s="3">
        <v>46171.082638888889</v>
      </c>
      <c r="B30" s="1" t="s">
        <v>32</v>
      </c>
      <c r="C30" s="2">
        <v>30</v>
      </c>
    </row>
    <row r="31" spans="1:3" x14ac:dyDescent="0.25">
      <c r="A31" s="3">
        <v>46171.086111111108</v>
      </c>
      <c r="B31" s="1" t="s">
        <v>34</v>
      </c>
      <c r="C31" s="2">
        <v>81.95</v>
      </c>
    </row>
    <row r="32" spans="1:3" x14ac:dyDescent="0.25">
      <c r="A32" s="3">
        <v>46171.089583333334</v>
      </c>
      <c r="B32" s="1" t="s">
        <v>32</v>
      </c>
      <c r="C32" s="2">
        <v>96.22</v>
      </c>
    </row>
    <row r="33" spans="1:3" x14ac:dyDescent="0.25">
      <c r="A33" s="3">
        <v>46171.09375</v>
      </c>
      <c r="B33" s="1" t="s">
        <v>32</v>
      </c>
      <c r="C33" s="2">
        <v>201.13</v>
      </c>
    </row>
    <row r="34" spans="1:3" x14ac:dyDescent="0.25">
      <c r="A34" s="3">
        <v>46171.095833333333</v>
      </c>
      <c r="B34" s="1" t="s">
        <v>33</v>
      </c>
      <c r="C34" s="2">
        <v>84.45</v>
      </c>
    </row>
    <row r="35" spans="1:3" x14ac:dyDescent="0.25">
      <c r="A35" s="3">
        <v>46171.097916666666</v>
      </c>
      <c r="B35" s="1" t="s">
        <v>33</v>
      </c>
      <c r="C35" s="2">
        <v>94.35</v>
      </c>
    </row>
    <row r="36" spans="1:3" x14ac:dyDescent="0.25">
      <c r="A36" s="3">
        <v>46171.098611111112</v>
      </c>
      <c r="B36" s="1" t="s">
        <v>34</v>
      </c>
      <c r="C36" s="2">
        <v>62.45</v>
      </c>
    </row>
    <row r="37" spans="1:3" x14ac:dyDescent="0.25">
      <c r="A37" s="3">
        <v>46171.101388888892</v>
      </c>
      <c r="B37" s="1" t="s">
        <v>32</v>
      </c>
      <c r="C37" s="2">
        <v>113.34</v>
      </c>
    </row>
    <row r="38" spans="1:3" x14ac:dyDescent="0.25">
      <c r="A38" s="3">
        <v>46171.102777777778</v>
      </c>
      <c r="B38" s="1" t="s">
        <v>33</v>
      </c>
      <c r="C38" s="2">
        <v>32</v>
      </c>
    </row>
    <row r="39" spans="1:3" x14ac:dyDescent="0.25">
      <c r="A39" s="3">
        <v>46171.103472222225</v>
      </c>
      <c r="B39" s="1" t="s">
        <v>32</v>
      </c>
      <c r="C39" s="2">
        <v>32</v>
      </c>
    </row>
    <row r="40" spans="1:3" x14ac:dyDescent="0.25">
      <c r="A40" s="3">
        <v>46171.103472222225</v>
      </c>
      <c r="B40" s="1" t="s">
        <v>32</v>
      </c>
      <c r="C40" s="2">
        <v>124.33</v>
      </c>
    </row>
    <row r="41" spans="1:3" x14ac:dyDescent="0.25">
      <c r="A41" s="3">
        <v>46171.107638888891</v>
      </c>
      <c r="B41" s="1" t="s">
        <v>34</v>
      </c>
      <c r="C41" s="2">
        <v>165.85</v>
      </c>
    </row>
    <row r="42" spans="1:3" x14ac:dyDescent="0.25">
      <c r="A42" s="3">
        <v>46171.107638888891</v>
      </c>
      <c r="B42" s="1" t="s">
        <v>34</v>
      </c>
      <c r="C42" s="2">
        <v>128.35</v>
      </c>
    </row>
    <row r="43" spans="1:3" x14ac:dyDescent="0.25">
      <c r="A43" s="3">
        <v>46171.10833333333</v>
      </c>
      <c r="B43" s="1" t="s">
        <v>33</v>
      </c>
      <c r="C43" s="2">
        <v>80.150000000000006</v>
      </c>
    </row>
    <row r="44" spans="1:3" x14ac:dyDescent="0.25">
      <c r="A44" s="3">
        <v>46171.109027777777</v>
      </c>
      <c r="B44" s="1" t="s">
        <v>33</v>
      </c>
      <c r="C44" s="2">
        <v>218.32</v>
      </c>
    </row>
    <row r="45" spans="1:3" x14ac:dyDescent="0.25">
      <c r="A45" s="3">
        <v>46171.111111111109</v>
      </c>
      <c r="B45" s="1" t="s">
        <v>33</v>
      </c>
      <c r="C45" s="2">
        <v>128.19999999999999</v>
      </c>
    </row>
    <row r="46" spans="1:3" x14ac:dyDescent="0.25">
      <c r="A46" s="3">
        <v>46171.111111111109</v>
      </c>
      <c r="B46" s="1" t="s">
        <v>33</v>
      </c>
      <c r="C46" s="2">
        <v>128.19999999999999</v>
      </c>
    </row>
    <row r="47" spans="1:3" x14ac:dyDescent="0.25">
      <c r="A47" s="3">
        <v>46171.111805555556</v>
      </c>
      <c r="B47" s="1" t="s">
        <v>34</v>
      </c>
      <c r="C47" s="2">
        <v>367.4</v>
      </c>
    </row>
    <row r="48" spans="1:3" x14ac:dyDescent="0.25">
      <c r="A48" s="3">
        <v>46171.112500000003</v>
      </c>
      <c r="B48" s="1" t="s">
        <v>33</v>
      </c>
      <c r="C48" s="2">
        <v>334.75</v>
      </c>
    </row>
    <row r="49" spans="1:3" x14ac:dyDescent="0.25">
      <c r="A49" s="3">
        <v>46171.113194444442</v>
      </c>
      <c r="B49" s="1" t="s">
        <v>34</v>
      </c>
      <c r="C49" s="2">
        <v>48.15</v>
      </c>
    </row>
    <row r="50" spans="1:3" x14ac:dyDescent="0.25">
      <c r="A50" s="3">
        <v>46171.113194444442</v>
      </c>
      <c r="B50" s="1" t="s">
        <v>34</v>
      </c>
      <c r="C50" s="2">
        <v>156.5</v>
      </c>
    </row>
    <row r="51" spans="1:3" x14ac:dyDescent="0.25">
      <c r="A51" s="3">
        <v>46171.113888888889</v>
      </c>
      <c r="B51" s="1" t="s">
        <v>34</v>
      </c>
      <c r="C51" s="2">
        <v>119.1</v>
      </c>
    </row>
    <row r="52" spans="1:3" x14ac:dyDescent="0.25">
      <c r="A52" s="3">
        <v>46171.115277777775</v>
      </c>
      <c r="B52" s="1" t="s">
        <v>34</v>
      </c>
      <c r="C52" s="2">
        <v>714.95</v>
      </c>
    </row>
    <row r="53" spans="1:3" x14ac:dyDescent="0.25">
      <c r="A53" s="3">
        <v>46171.121527777781</v>
      </c>
      <c r="B53" s="1" t="s">
        <v>34</v>
      </c>
      <c r="C53" s="2">
        <v>226.55</v>
      </c>
    </row>
    <row r="54" spans="1:3" x14ac:dyDescent="0.25">
      <c r="A54" s="3">
        <v>46171.122916666667</v>
      </c>
      <c r="B54" s="1" t="s">
        <v>33</v>
      </c>
      <c r="C54" s="2">
        <v>115.8</v>
      </c>
    </row>
    <row r="55" spans="1:3" x14ac:dyDescent="0.25">
      <c r="A55" s="3">
        <v>46171.125</v>
      </c>
      <c r="B55" s="1" t="s">
        <v>34</v>
      </c>
      <c r="C55" s="2">
        <v>46.5</v>
      </c>
    </row>
    <row r="56" spans="1:3" x14ac:dyDescent="0.25">
      <c r="A56" s="3">
        <v>46171.125694444447</v>
      </c>
      <c r="B56" s="1" t="s">
        <v>32</v>
      </c>
      <c r="C56" s="2">
        <v>71.8</v>
      </c>
    </row>
    <row r="57" spans="1:3" x14ac:dyDescent="0.25">
      <c r="A57" s="3">
        <v>46171.127083333333</v>
      </c>
      <c r="B57" s="1" t="s">
        <v>34</v>
      </c>
      <c r="C57" s="2">
        <v>122.7</v>
      </c>
    </row>
    <row r="58" spans="1:3" x14ac:dyDescent="0.25">
      <c r="A58" s="3">
        <v>46171.127083333333</v>
      </c>
      <c r="B58" s="1" t="s">
        <v>33</v>
      </c>
      <c r="C58" s="2">
        <v>149.1</v>
      </c>
    </row>
    <row r="59" spans="1:3" x14ac:dyDescent="0.25">
      <c r="A59" s="3">
        <v>46171.128472222219</v>
      </c>
      <c r="B59" s="1" t="s">
        <v>34</v>
      </c>
      <c r="C59" s="2">
        <v>138.9</v>
      </c>
    </row>
    <row r="60" spans="1:3" x14ac:dyDescent="0.25">
      <c r="A60" s="3">
        <v>46171.129166666666</v>
      </c>
      <c r="B60" s="1" t="s">
        <v>32</v>
      </c>
      <c r="C60" s="2">
        <v>82.25</v>
      </c>
    </row>
    <row r="61" spans="1:3" x14ac:dyDescent="0.25">
      <c r="A61" s="3">
        <v>46171.131944444445</v>
      </c>
      <c r="B61" s="1" t="s">
        <v>34</v>
      </c>
      <c r="C61" s="2">
        <v>9.5</v>
      </c>
    </row>
    <row r="62" spans="1:3" x14ac:dyDescent="0.25">
      <c r="A62" s="3">
        <v>46171.896527777775</v>
      </c>
      <c r="B62" s="1" t="s">
        <v>33</v>
      </c>
      <c r="C62" s="2">
        <v>50.9</v>
      </c>
    </row>
    <row r="63" spans="1:3" x14ac:dyDescent="0.25">
      <c r="A63" s="3">
        <v>46171.913888888892</v>
      </c>
      <c r="B63" s="1" t="s">
        <v>34</v>
      </c>
      <c r="C63" s="2">
        <v>118.4</v>
      </c>
    </row>
    <row r="64" spans="1:3" x14ac:dyDescent="0.25">
      <c r="A64" s="3">
        <v>46171.914583333331</v>
      </c>
      <c r="B64" s="1" t="s">
        <v>34</v>
      </c>
      <c r="C64" s="2">
        <v>95.74</v>
      </c>
    </row>
    <row r="65" spans="1:3" x14ac:dyDescent="0.25">
      <c r="A65" s="3">
        <v>46171.966666666667</v>
      </c>
      <c r="B65" s="1" t="s">
        <v>33</v>
      </c>
      <c r="C65" s="2">
        <v>108</v>
      </c>
    </row>
    <row r="66" spans="1:3" x14ac:dyDescent="0.25">
      <c r="A66" s="3">
        <v>46171.977777777778</v>
      </c>
      <c r="B66" s="1" t="s">
        <v>34</v>
      </c>
      <c r="C66" s="2">
        <v>234.6</v>
      </c>
    </row>
    <row r="67" spans="1:3" x14ac:dyDescent="0.25">
      <c r="A67" s="3">
        <v>46171.978472222225</v>
      </c>
      <c r="B67" s="1" t="s">
        <v>33</v>
      </c>
      <c r="C67" s="2">
        <v>40.450000000000003</v>
      </c>
    </row>
    <row r="68" spans="1:3" x14ac:dyDescent="0.25">
      <c r="A68" s="3">
        <v>46171.980555555558</v>
      </c>
      <c r="B68" s="1" t="s">
        <v>32</v>
      </c>
      <c r="C68" s="2">
        <v>142.4</v>
      </c>
    </row>
    <row r="69" spans="1:3" x14ac:dyDescent="0.25">
      <c r="A69" s="3">
        <v>46171.981249999997</v>
      </c>
      <c r="B69" s="1" t="s">
        <v>32</v>
      </c>
      <c r="C69" s="2">
        <v>95.19</v>
      </c>
    </row>
    <row r="70" spans="1:3" x14ac:dyDescent="0.25">
      <c r="A70" s="3">
        <v>46171.982638888891</v>
      </c>
      <c r="B70" s="1" t="s">
        <v>34</v>
      </c>
      <c r="C70" s="2">
        <v>238.09</v>
      </c>
    </row>
    <row r="71" spans="1:3" x14ac:dyDescent="0.25">
      <c r="A71" s="3">
        <v>46171.984027777777</v>
      </c>
      <c r="B71" s="1" t="s">
        <v>33</v>
      </c>
      <c r="C71" s="2">
        <v>63.4</v>
      </c>
    </row>
    <row r="72" spans="1:3" x14ac:dyDescent="0.25">
      <c r="A72" s="3">
        <v>46171.989583333336</v>
      </c>
      <c r="B72" s="1" t="s">
        <v>33</v>
      </c>
      <c r="C72" s="2">
        <v>102.6</v>
      </c>
    </row>
    <row r="73" spans="1:3" x14ac:dyDescent="0.25">
      <c r="A73" s="3">
        <v>46171.011111111111</v>
      </c>
      <c r="B73" s="1" t="s">
        <v>34</v>
      </c>
      <c r="C73" s="2">
        <v>9.5</v>
      </c>
    </row>
    <row r="74" spans="1:3" x14ac:dyDescent="0.25">
      <c r="A74" s="3">
        <v>46171.013194444444</v>
      </c>
      <c r="B74" s="1" t="s">
        <v>34</v>
      </c>
      <c r="C74" s="2">
        <v>135.05000000000001</v>
      </c>
    </row>
    <row r="75" spans="1:3" x14ac:dyDescent="0.25">
      <c r="A75" s="3">
        <v>46171.023611111108</v>
      </c>
      <c r="B75" s="1" t="s">
        <v>33</v>
      </c>
      <c r="C75" s="2">
        <v>9.5</v>
      </c>
    </row>
    <row r="76" spans="1:3" x14ac:dyDescent="0.25">
      <c r="A76" s="3">
        <v>46171.035416666666</v>
      </c>
      <c r="B76" s="1" t="s">
        <v>34</v>
      </c>
      <c r="C76" s="2">
        <v>38.72</v>
      </c>
    </row>
    <row r="77" spans="1:3" x14ac:dyDescent="0.25">
      <c r="A77" s="3">
        <v>46171.036111111112</v>
      </c>
      <c r="B77" s="1" t="s">
        <v>32</v>
      </c>
      <c r="C77" s="2">
        <v>141.69999999999999</v>
      </c>
    </row>
    <row r="78" spans="1:3" x14ac:dyDescent="0.25">
      <c r="A78" s="3">
        <v>46171.038194444445</v>
      </c>
      <c r="B78" s="1" t="s">
        <v>32</v>
      </c>
      <c r="C78" s="2">
        <v>52</v>
      </c>
    </row>
    <row r="79" spans="1:3" x14ac:dyDescent="0.25">
      <c r="A79" s="3">
        <v>46171.038888888892</v>
      </c>
      <c r="B79" s="1" t="s">
        <v>33</v>
      </c>
      <c r="C79" s="2">
        <v>163.9</v>
      </c>
    </row>
    <row r="80" spans="1:3" x14ac:dyDescent="0.25">
      <c r="A80" s="3">
        <v>46171.05</v>
      </c>
      <c r="B80" s="1" t="s">
        <v>32</v>
      </c>
      <c r="C80" s="2">
        <v>81.599999999999994</v>
      </c>
    </row>
    <row r="81" spans="1:3" x14ac:dyDescent="0.25">
      <c r="A81" s="3">
        <v>46171.055555555555</v>
      </c>
      <c r="B81" s="1" t="s">
        <v>34</v>
      </c>
      <c r="C81" s="2">
        <v>65.650000000000006</v>
      </c>
    </row>
    <row r="82" spans="1:3" x14ac:dyDescent="0.25">
      <c r="A82" s="3">
        <v>46171.055555555555</v>
      </c>
      <c r="B82" s="1" t="s">
        <v>33</v>
      </c>
      <c r="C82" s="2">
        <v>65.05</v>
      </c>
    </row>
    <row r="83" spans="1:3" x14ac:dyDescent="0.25">
      <c r="A83" s="3">
        <v>46171.057638888888</v>
      </c>
      <c r="B83" s="1" t="s">
        <v>34</v>
      </c>
      <c r="C83" s="2">
        <v>90.72</v>
      </c>
    </row>
    <row r="84" spans="1:3" x14ac:dyDescent="0.25">
      <c r="A84" s="3">
        <v>46171.059027777781</v>
      </c>
      <c r="B84" s="1" t="s">
        <v>34</v>
      </c>
      <c r="C84" s="2">
        <v>156.94999999999999</v>
      </c>
    </row>
    <row r="85" spans="1:3" x14ac:dyDescent="0.25">
      <c r="A85" s="3">
        <v>46171.05972222222</v>
      </c>
      <c r="B85" s="1" t="s">
        <v>34</v>
      </c>
      <c r="C85" s="2">
        <v>201.82</v>
      </c>
    </row>
    <row r="86" spans="1:3" x14ac:dyDescent="0.25">
      <c r="A86" s="3">
        <v>46171.061111111114</v>
      </c>
      <c r="B86" s="1" t="s">
        <v>34</v>
      </c>
      <c r="C86" s="2">
        <v>71.8</v>
      </c>
    </row>
    <row r="87" spans="1:3" x14ac:dyDescent="0.25">
      <c r="A87" s="3">
        <v>46171.064583333333</v>
      </c>
      <c r="B87" s="1" t="s">
        <v>33</v>
      </c>
      <c r="C87" s="2">
        <v>85.55</v>
      </c>
    </row>
    <row r="88" spans="1:3" x14ac:dyDescent="0.25">
      <c r="A88" s="3">
        <v>46171.072222222225</v>
      </c>
      <c r="B88" s="1" t="s">
        <v>34</v>
      </c>
      <c r="C88" s="2">
        <v>46.5</v>
      </c>
    </row>
    <row r="89" spans="1:3" x14ac:dyDescent="0.25">
      <c r="A89" s="3">
        <v>46171.074305555558</v>
      </c>
      <c r="B89" s="1" t="s">
        <v>34</v>
      </c>
      <c r="C89" s="2">
        <v>66.3</v>
      </c>
    </row>
    <row r="90" spans="1:3" x14ac:dyDescent="0.25">
      <c r="A90" s="3">
        <v>46171.074305555558</v>
      </c>
      <c r="B90" s="1" t="s">
        <v>32</v>
      </c>
      <c r="C90" s="2">
        <v>237.9</v>
      </c>
    </row>
    <row r="91" spans="1:3" x14ac:dyDescent="0.25">
      <c r="A91" s="3">
        <v>46171.075694444444</v>
      </c>
      <c r="B91" s="1" t="s">
        <v>32</v>
      </c>
      <c r="C91" s="2">
        <v>120.75</v>
      </c>
    </row>
    <row r="92" spans="1:3" x14ac:dyDescent="0.25">
      <c r="A92" s="3">
        <v>46171.078472222223</v>
      </c>
      <c r="B92" s="1" t="s">
        <v>32</v>
      </c>
      <c r="C92" s="2">
        <v>319.2</v>
      </c>
    </row>
    <row r="93" spans="1:3" x14ac:dyDescent="0.25">
      <c r="A93" s="3">
        <v>46171.07916666667</v>
      </c>
      <c r="B93" s="1" t="s">
        <v>34</v>
      </c>
      <c r="C93" s="2">
        <v>239.55</v>
      </c>
    </row>
    <row r="94" spans="1:3" x14ac:dyDescent="0.25">
      <c r="A94" s="3">
        <v>46171.081944444442</v>
      </c>
      <c r="B94" s="1" t="s">
        <v>33</v>
      </c>
      <c r="C94" s="2">
        <v>83.9</v>
      </c>
    </row>
    <row r="95" spans="1:3" x14ac:dyDescent="0.25">
      <c r="A95" s="3">
        <v>46171.083333333336</v>
      </c>
      <c r="B95" s="1" t="s">
        <v>34</v>
      </c>
      <c r="C95" s="2">
        <v>257.45</v>
      </c>
    </row>
    <row r="96" spans="1:3" x14ac:dyDescent="0.25">
      <c r="A96" s="3">
        <v>46171.084027777775</v>
      </c>
      <c r="B96" s="1" t="s">
        <v>34</v>
      </c>
      <c r="C96" s="2">
        <v>127.9</v>
      </c>
    </row>
    <row r="97" spans="1:3" x14ac:dyDescent="0.25">
      <c r="A97" s="3">
        <v>46171.085416666669</v>
      </c>
      <c r="B97" s="1" t="s">
        <v>34</v>
      </c>
      <c r="C97" s="2">
        <v>61.35</v>
      </c>
    </row>
    <row r="98" spans="1:3" x14ac:dyDescent="0.25">
      <c r="A98" s="3">
        <v>46171.085416666669</v>
      </c>
      <c r="B98" s="1" t="s">
        <v>34</v>
      </c>
      <c r="C98" s="2">
        <v>38</v>
      </c>
    </row>
    <row r="99" spans="1:3" x14ac:dyDescent="0.25">
      <c r="A99" s="3">
        <v>46171.086111111108</v>
      </c>
      <c r="B99" s="1" t="s">
        <v>34</v>
      </c>
      <c r="C99" s="2">
        <v>66.3</v>
      </c>
    </row>
    <row r="100" spans="1:3" x14ac:dyDescent="0.25">
      <c r="A100" s="3">
        <v>46171.086805555555</v>
      </c>
      <c r="B100" s="1" t="s">
        <v>34</v>
      </c>
      <c r="C100" s="2">
        <v>84.5</v>
      </c>
    </row>
    <row r="101" spans="1:3" x14ac:dyDescent="0.25">
      <c r="A101" s="3">
        <v>46171.087500000001</v>
      </c>
      <c r="B101" s="1" t="s">
        <v>34</v>
      </c>
      <c r="C101" s="2">
        <v>161.44999999999999</v>
      </c>
    </row>
    <row r="102" spans="1:3" x14ac:dyDescent="0.25">
      <c r="A102" s="3">
        <v>46171.088194444441</v>
      </c>
      <c r="B102" s="1" t="s">
        <v>32</v>
      </c>
      <c r="C102" s="2">
        <v>164.2</v>
      </c>
    </row>
    <row r="103" spans="1:3" x14ac:dyDescent="0.25">
      <c r="A103" s="3">
        <v>46171.090277777781</v>
      </c>
      <c r="B103" s="1" t="s">
        <v>34</v>
      </c>
      <c r="C103" s="2">
        <v>142.75</v>
      </c>
    </row>
    <row r="104" spans="1:3" x14ac:dyDescent="0.25">
      <c r="A104" s="3">
        <v>46171.09097222222</v>
      </c>
      <c r="B104" s="1" t="s">
        <v>34</v>
      </c>
      <c r="C104" s="2">
        <v>181.15</v>
      </c>
    </row>
    <row r="105" spans="1:3" x14ac:dyDescent="0.25">
      <c r="A105" s="3">
        <v>46171.091666666667</v>
      </c>
      <c r="B105" s="1" t="s">
        <v>34</v>
      </c>
      <c r="C105" s="2">
        <v>199.15</v>
      </c>
    </row>
    <row r="106" spans="1:3" x14ac:dyDescent="0.25">
      <c r="A106" s="3">
        <v>46171.09375</v>
      </c>
      <c r="B106" s="1" t="s">
        <v>34</v>
      </c>
      <c r="C106" s="2">
        <v>138.65</v>
      </c>
    </row>
    <row r="107" spans="1:3" x14ac:dyDescent="0.25">
      <c r="A107" s="3">
        <v>46171.094444444447</v>
      </c>
      <c r="B107" s="1" t="s">
        <v>32</v>
      </c>
      <c r="C107" s="2">
        <v>80.05</v>
      </c>
    </row>
    <row r="108" spans="1:3" x14ac:dyDescent="0.25">
      <c r="A108" s="3">
        <v>46171.097916666666</v>
      </c>
      <c r="B108" s="1" t="s">
        <v>33</v>
      </c>
      <c r="C108" s="2">
        <v>284.64999999999998</v>
      </c>
    </row>
    <row r="109" spans="1:3" x14ac:dyDescent="0.25">
      <c r="A109" s="3">
        <v>46171.104166666664</v>
      </c>
      <c r="B109" s="1" t="s">
        <v>34</v>
      </c>
      <c r="C109" s="2">
        <v>170.8</v>
      </c>
    </row>
    <row r="110" spans="1:3" x14ac:dyDescent="0.25">
      <c r="A110" s="3">
        <v>46171.104861111111</v>
      </c>
      <c r="B110" s="1" t="s">
        <v>34</v>
      </c>
      <c r="C110" s="2">
        <v>40.450000000000003</v>
      </c>
    </row>
    <row r="111" spans="1:3" x14ac:dyDescent="0.25">
      <c r="A111" s="3">
        <v>46171.106944444444</v>
      </c>
      <c r="B111" s="1" t="s">
        <v>34</v>
      </c>
      <c r="C111" s="2">
        <v>262.64999999999998</v>
      </c>
    </row>
    <row r="112" spans="1:3" x14ac:dyDescent="0.25">
      <c r="A112" s="3">
        <v>46171.107638888891</v>
      </c>
      <c r="B112" s="1" t="s">
        <v>33</v>
      </c>
      <c r="C112" s="2">
        <v>400</v>
      </c>
    </row>
    <row r="113" spans="1:3" x14ac:dyDescent="0.25">
      <c r="A113" s="3">
        <v>46171.10833333333</v>
      </c>
      <c r="B113" s="1" t="s">
        <v>33</v>
      </c>
      <c r="C113" s="2">
        <v>193.4</v>
      </c>
    </row>
    <row r="114" spans="1:3" x14ac:dyDescent="0.25">
      <c r="A114" s="3">
        <v>46171.111805555556</v>
      </c>
      <c r="B114" s="1" t="s">
        <v>33</v>
      </c>
      <c r="C114" s="2">
        <v>230.1</v>
      </c>
    </row>
    <row r="115" spans="1:3" x14ac:dyDescent="0.25">
      <c r="A115" s="3">
        <v>46171.115277777775</v>
      </c>
      <c r="B115" s="1" t="s">
        <v>33</v>
      </c>
      <c r="C115" s="2">
        <v>50.9</v>
      </c>
    </row>
    <row r="116" spans="1:3" x14ac:dyDescent="0.25">
      <c r="A116" s="3">
        <v>46171.115972222222</v>
      </c>
      <c r="B116" s="1" t="s">
        <v>33</v>
      </c>
      <c r="C116" s="2">
        <v>175.09</v>
      </c>
    </row>
    <row r="117" spans="1:3" x14ac:dyDescent="0.25">
      <c r="A117" s="3">
        <v>46171.116666666669</v>
      </c>
      <c r="B117" s="1" t="s">
        <v>33</v>
      </c>
      <c r="C117" s="2">
        <v>96.55</v>
      </c>
    </row>
    <row r="118" spans="1:3" x14ac:dyDescent="0.25">
      <c r="A118" s="3">
        <v>46171.117361111108</v>
      </c>
      <c r="B118" s="1" t="s">
        <v>33</v>
      </c>
      <c r="C118" s="2">
        <v>67.400000000000006</v>
      </c>
    </row>
    <row r="119" spans="1:3" x14ac:dyDescent="0.25">
      <c r="A119" s="3">
        <v>46171.118055555555</v>
      </c>
      <c r="B119" s="1" t="s">
        <v>33</v>
      </c>
      <c r="C119" s="2">
        <v>121.85</v>
      </c>
    </row>
    <row r="120" spans="1:3" x14ac:dyDescent="0.25">
      <c r="A120" s="3">
        <v>46171.118750000001</v>
      </c>
      <c r="B120" s="1" t="s">
        <v>34</v>
      </c>
      <c r="C120" s="2">
        <v>129.55000000000001</v>
      </c>
    </row>
    <row r="121" spans="1:3" x14ac:dyDescent="0.25">
      <c r="A121" s="3">
        <v>46171.119444444441</v>
      </c>
      <c r="B121" s="1" t="s">
        <v>34</v>
      </c>
      <c r="C121" s="2">
        <v>170.7</v>
      </c>
    </row>
    <row r="122" spans="1:3" x14ac:dyDescent="0.25">
      <c r="A122" s="3">
        <v>46171.127083333333</v>
      </c>
      <c r="B122" s="1" t="s">
        <v>33</v>
      </c>
      <c r="C122" s="2">
        <v>340.5</v>
      </c>
    </row>
    <row r="123" spans="1:3" x14ac:dyDescent="0.25">
      <c r="A123" s="3">
        <v>46171.12777777778</v>
      </c>
      <c r="B123" s="1" t="s">
        <v>34</v>
      </c>
      <c r="C123" s="2">
        <v>386.9</v>
      </c>
    </row>
    <row r="124" spans="1:3" x14ac:dyDescent="0.25">
      <c r="A124" s="3">
        <v>46171.128472222219</v>
      </c>
      <c r="B124" s="1" t="s">
        <v>34</v>
      </c>
      <c r="C124" s="2">
        <v>71.8</v>
      </c>
    </row>
    <row r="125" spans="1:3" x14ac:dyDescent="0.25">
      <c r="A125" s="3">
        <v>46171.130555555559</v>
      </c>
      <c r="B125" s="1" t="s">
        <v>34</v>
      </c>
      <c r="C125" s="2">
        <v>119</v>
      </c>
    </row>
    <row r="126" spans="1:3" x14ac:dyDescent="0.25">
      <c r="A126" s="3">
        <v>46171.131249999999</v>
      </c>
      <c r="B126" s="1" t="s">
        <v>34</v>
      </c>
      <c r="C126" s="2">
        <v>121.85</v>
      </c>
    </row>
    <row r="128" spans="1:3" x14ac:dyDescent="0.25">
      <c r="C128" s="2"/>
    </row>
  </sheetData>
  <sortState xmlns:xlrd2="http://schemas.microsoft.com/office/spreadsheetml/2017/richdata2" ref="A2:C134">
    <sortCondition ref="A1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selection activeCell="B6" sqref="B6"/>
    </sheetView>
  </sheetViews>
  <sheetFormatPr defaultRowHeight="15" x14ac:dyDescent="0.25"/>
  <cols>
    <col min="1" max="1" width="18" customWidth="1"/>
    <col min="2" max="2" width="12.7109375" bestFit="1" customWidth="1"/>
    <col min="3" max="3" width="12.140625" customWidth="1"/>
    <col min="4" max="7" width="19.5703125" customWidth="1"/>
    <col min="8" max="10" width="19.5703125" bestFit="1" customWidth="1"/>
    <col min="11" max="11" width="10.7109375" customWidth="1"/>
    <col min="12" max="60" width="19.5703125" bestFit="1" customWidth="1"/>
    <col min="61" max="61" width="10.7109375" bestFit="1" customWidth="1"/>
  </cols>
  <sheetData>
    <row r="1" spans="1:3" x14ac:dyDescent="0.25">
      <c r="A1" t="s">
        <v>46</v>
      </c>
      <c r="B1" s="10" t="s">
        <v>47</v>
      </c>
    </row>
    <row r="2" spans="1:3" x14ac:dyDescent="0.25">
      <c r="A2" t="s">
        <v>48</v>
      </c>
      <c r="B2" s="4">
        <v>46170.75</v>
      </c>
    </row>
    <row r="3" spans="1:3" x14ac:dyDescent="0.25">
      <c r="A3" t="s">
        <v>45</v>
      </c>
      <c r="B3" s="4">
        <v>46171.166666666664</v>
      </c>
    </row>
    <row r="6" spans="1:3" x14ac:dyDescent="0.25">
      <c r="A6" s="14" t="s">
        <v>59</v>
      </c>
      <c r="B6" t="s">
        <v>257</v>
      </c>
      <c r="C6" t="s">
        <v>61</v>
      </c>
    </row>
    <row r="7" spans="1:3" x14ac:dyDescent="0.25">
      <c r="A7" s="36">
        <v>46170.75</v>
      </c>
      <c r="B7" s="23">
        <v>0</v>
      </c>
      <c r="C7" s="23">
        <v>0</v>
      </c>
    </row>
    <row r="8" spans="1:3" x14ac:dyDescent="0.25">
      <c r="A8" s="36">
        <v>46170.791666666664</v>
      </c>
      <c r="B8" s="23">
        <v>0</v>
      </c>
      <c r="C8" s="23">
        <v>0</v>
      </c>
    </row>
    <row r="9" spans="1:3" x14ac:dyDescent="0.25">
      <c r="A9" s="36">
        <v>46170.833333333336</v>
      </c>
      <c r="B9" s="23">
        <v>0</v>
      </c>
      <c r="C9" s="23">
        <v>0</v>
      </c>
    </row>
    <row r="10" spans="1:3" x14ac:dyDescent="0.25">
      <c r="A10" s="36">
        <v>46170.875</v>
      </c>
      <c r="B10" s="23">
        <v>1</v>
      </c>
      <c r="C10" s="23">
        <v>2</v>
      </c>
    </row>
    <row r="11" spans="1:3" x14ac:dyDescent="0.25">
      <c r="A11" s="36">
        <v>46170.916666666664</v>
      </c>
      <c r="B11" s="23">
        <v>3</v>
      </c>
      <c r="C11" s="23">
        <v>10</v>
      </c>
    </row>
    <row r="12" spans="1:3" x14ac:dyDescent="0.25">
      <c r="A12" s="36">
        <v>46170.958333333336</v>
      </c>
      <c r="B12" s="23">
        <v>7</v>
      </c>
      <c r="C12" s="23">
        <v>31</v>
      </c>
    </row>
    <row r="13" spans="1:3" x14ac:dyDescent="0.25">
      <c r="A13" s="36">
        <v>46171</v>
      </c>
      <c r="B13" s="23">
        <v>14</v>
      </c>
      <c r="C13" s="23">
        <v>20</v>
      </c>
    </row>
    <row r="14" spans="1:3" x14ac:dyDescent="0.25">
      <c r="A14" s="36">
        <v>46171.041666666664</v>
      </c>
      <c r="B14" s="23">
        <v>26</v>
      </c>
      <c r="C14" s="23">
        <v>18</v>
      </c>
    </row>
    <row r="15" spans="1:3" x14ac:dyDescent="0.25">
      <c r="A15" s="36">
        <v>46171.083333333336</v>
      </c>
      <c r="B15" s="23">
        <v>51</v>
      </c>
      <c r="C15" s="23">
        <v>0</v>
      </c>
    </row>
    <row r="16" spans="1:3" x14ac:dyDescent="0.25">
      <c r="A16" s="36">
        <v>46171.125</v>
      </c>
      <c r="B16" s="23">
        <v>12</v>
      </c>
      <c r="C16" s="23">
        <v>0</v>
      </c>
    </row>
    <row r="17" spans="1:3" x14ac:dyDescent="0.25">
      <c r="A17" s="36">
        <v>46171.166666666664</v>
      </c>
      <c r="B17" s="23">
        <v>0</v>
      </c>
      <c r="C17" s="23">
        <v>0</v>
      </c>
    </row>
    <row r="18" spans="1:3" x14ac:dyDescent="0.25">
      <c r="A18" s="17" t="s">
        <v>60</v>
      </c>
      <c r="B18" s="23">
        <v>114</v>
      </c>
      <c r="C18" s="23">
        <v>81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CA3674-FA7F-4B0E-9568-55BE9F0EB3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Fechamento 7Pay</vt:lpstr>
      <vt:lpstr>Fechamento Sipag</vt:lpstr>
      <vt:lpstr>Vendas 7Pay</vt:lpstr>
      <vt:lpstr>Vendas Sipag</vt:lpstr>
      <vt:lpstr>Configuração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lipeglauber@gmail.com</cp:lastModifiedBy>
  <dcterms:created xsi:type="dcterms:W3CDTF">2026-05-22T21:22:24Z</dcterms:created>
  <dcterms:modified xsi:type="dcterms:W3CDTF">2026-06-18T23:06:07Z</dcterms:modified>
</cp:coreProperties>
</file>