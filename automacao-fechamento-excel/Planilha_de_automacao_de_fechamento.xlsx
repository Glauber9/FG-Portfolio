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Campanha de Mensagens v2.9.1\automacao-fechamento-excel\"/>
    </mc:Choice>
  </mc:AlternateContent>
  <xr:revisionPtr revIDLastSave="0" documentId="13_ncr:1_{4647E31F-3522-4FBD-A62E-D27929ADDF1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shboard" sheetId="2" r:id="rId1"/>
    <sheet name="Fechamento 7Pay" sheetId="6" r:id="rId2"/>
    <sheet name="Fechamento Sipag" sheetId="7" r:id="rId3"/>
    <sheet name="Vendas 7Pay" sheetId="1" r:id="rId4"/>
    <sheet name="Vendas Sipag" sheetId="3" r:id="rId5"/>
    <sheet name="Configuração" sheetId="8" r:id="rId6"/>
  </sheets>
  <definedNames>
    <definedName name="DadosExternos_1" localSheetId="5" hidden="1">Configuração!#REF!</definedName>
    <definedName name="DadosExternos_1" localSheetId="1" hidden="1">'Fechamento 7Pay'!$A$6:$D$490</definedName>
    <definedName name="DadosExternos_1" localSheetId="2" hidden="1">'Fechamento Sipag'!$A$6:$C$505</definedName>
  </definedNames>
  <calcPr calcId="191029"/>
  <pivotCaches>
    <pivotCache cacheId="1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H22" i="2"/>
  <c r="G38" i="2"/>
  <c r="C4" i="6" l="1"/>
  <c r="W29" i="2" s="1"/>
  <c r="C3" i="6"/>
  <c r="W35" i="2" s="1"/>
  <c r="C2" i="6"/>
  <c r="W32" i="2" s="1"/>
  <c r="D28" i="2" l="1"/>
  <c r="D32" i="2" l="1"/>
  <c r="C4" i="7"/>
  <c r="C3" i="7"/>
  <c r="W19" i="2" s="1"/>
  <c r="C2" i="7"/>
  <c r="F16" i="2" l="1"/>
  <c r="H16" i="2" s="1"/>
  <c r="W16" i="2"/>
  <c r="F13" i="2"/>
  <c r="H13" i="2" s="1"/>
  <c r="W13" i="2"/>
  <c r="C5" i="7"/>
  <c r="W22" i="2" s="1"/>
  <c r="F19" i="2"/>
  <c r="H19" i="2" s="1"/>
  <c r="C5" i="6"/>
  <c r="W38" i="2" s="1"/>
  <c r="F28" i="2" l="1"/>
  <c r="H28" i="2" s="1"/>
  <c r="G3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dos_do_Grafico" description="Conexão com a consulta 'Dados_do_Grafico' na pasta de trabalho." type="5" refreshedVersion="8" background="1">
    <dbPr connection="Provider=Microsoft.Mashup.OleDb.1;Data Source=$Workbook$;Location=Dados_do_Grafico;Extended Properties=&quot;&quot;" command="SELECT * FROM [Dados_do_Grafico]"/>
  </connection>
  <connection id="2" xr16:uid="{00000000-0015-0000-FFFF-FFFF01000000}" keepAlive="1" name="Consulta - Filtro_Periodo" description="Conexão com a consulta 'Filtro_Periodo' na pasta de trabalho." type="5" refreshedVersion="0" background="1">
    <dbPr connection="Provider=Microsoft.Mashup.OleDb.1;Data Source=$Workbook$;Location=Filtro_Periodo;Extended Properties=&quot;&quot;" command="SELECT * FROM [Filtro_Periodo]"/>
  </connection>
  <connection id="3" xr16:uid="{00000000-0015-0000-FFFF-FFFF02000000}" keepAlive="1" name="Consulta - Tabela_7Pay" description="Conexão com a consulta 'Tabela_7Pay' na pasta de trabalho." type="5" refreshedVersion="8" background="1" saveData="1">
    <dbPr connection="Provider=Microsoft.Mashup.OleDb.1;Data Source=$Workbook$;Location=Tabela_7Pay;Extended Properties=&quot;&quot;" command="SELECT * FROM [Tabela_7Pay]"/>
  </connection>
  <connection id="4" xr16:uid="{00000000-0015-0000-FFFF-FFFF03000000}" keepAlive="1" name="Consulta - Tabela_Sipag" description="Conexão com a consulta 'Tabela_Sipag' na pasta de trabalho." type="5" refreshedVersion="8" background="1" saveData="1">
    <dbPr connection="Provider=Microsoft.Mashup.OleDb.1;Data Source=$Workbook$;Location=Tabela_Sipag;Extended Properties=&quot;&quot;" command="SELECT * FROM [Tabela_Sipag]"/>
  </connection>
  <connection id="5" xr16:uid="{ABF55B22-8E10-4FA9-8D69-74A141086017}" keepAlive="1" name="Consulta - Vendas 7Pay" description="Conexão com a consulta 'Vendas 7Pay' na pasta de trabalho." type="5" refreshedVersion="0" background="1">
    <dbPr connection="Provider=Microsoft.Mashup.OleDb.1;Data Source=$Workbook$;Location=&quot;Vendas 7Pay&quot;;Extended Properties=&quot;&quot;" command="SELECT * FROM [Vendas 7Pay]"/>
  </connection>
</connections>
</file>

<file path=xl/sharedStrings.xml><?xml version="1.0" encoding="utf-8"?>
<sst xmlns="http://schemas.openxmlformats.org/spreadsheetml/2006/main" count="7038" uniqueCount="1068">
  <si>
    <t>NOME EMPRESA</t>
  </si>
  <si>
    <t>ULTIMOS 4 DIGITOS DO CARTÃO</t>
  </si>
  <si>
    <t>BANDEIRA CARTAO</t>
  </si>
  <si>
    <t>PORTADOR CARTAO</t>
  </si>
  <si>
    <t>DATA DA VENDA</t>
  </si>
  <si>
    <t>NUMERO PARCELAS</t>
  </si>
  <si>
    <t>MODO CAPTURA</t>
  </si>
  <si>
    <t>TIPO VENDA</t>
  </si>
  <si>
    <t>VALOR BRUTO</t>
  </si>
  <si>
    <t>DESCRIÇÃO EXTRATO</t>
  </si>
  <si>
    <t>VALOR LIQUIDO</t>
  </si>
  <si>
    <t>STATUS</t>
  </si>
  <si>
    <t>CPF / CNPJ</t>
  </si>
  <si>
    <t>ID SELLER ZOOP</t>
  </si>
  <si>
    <t>ID TRANSAÇÃO ZOOP</t>
  </si>
  <si>
    <t>VALIDADE DO CARTAO</t>
  </si>
  <si>
    <t>VALOR TAXA</t>
  </si>
  <si>
    <t>ID</t>
  </si>
  <si>
    <t>NUMERO IDENTIFICADOR ENTRADA</t>
  </si>
  <si>
    <t>N/A</t>
  </si>
  <si>
    <t>Presencial</t>
  </si>
  <si>
    <t>1</t>
  </si>
  <si>
    <t>pix</t>
  </si>
  <si>
    <t>Aprovado</t>
  </si>
  <si>
    <t>MAESTRO</t>
  </si>
  <si>
    <t>Debito</t>
  </si>
  <si>
    <t>VISA ELECTRON</t>
  </si>
  <si>
    <t>MASTERCARD</t>
  </si>
  <si>
    <t>Credito</t>
  </si>
  <si>
    <t>VISA</t>
  </si>
  <si>
    <t>LIQUIDADA</t>
  </si>
  <si>
    <t>Débito</t>
  </si>
  <si>
    <t>Crédito</t>
  </si>
  <si>
    <t>Total plano de venda</t>
  </si>
  <si>
    <t>Forma de Pagamento</t>
  </si>
  <si>
    <t>Data da transação</t>
  </si>
  <si>
    <t>Pix</t>
  </si>
  <si>
    <t>FECHAMENTO 7PAY</t>
  </si>
  <si>
    <t>TOTAL MÁQUINA:</t>
  </si>
  <si>
    <t>FECHAMENTO SIPAG</t>
  </si>
  <si>
    <t>CRÉDITO:</t>
  </si>
  <si>
    <t>DÉBITO:</t>
  </si>
  <si>
    <t>PIX:</t>
  </si>
  <si>
    <t>Data Final</t>
  </si>
  <si>
    <t>Coluna1</t>
  </si>
  <si>
    <t>Coluna2</t>
  </si>
  <si>
    <t>Data Inicial</t>
  </si>
  <si>
    <t>Variação</t>
  </si>
  <si>
    <t>Sistema</t>
  </si>
  <si>
    <t>Total</t>
  </si>
  <si>
    <t>Dinheiro</t>
  </si>
  <si>
    <t>Pg Online</t>
  </si>
  <si>
    <t>Dashboard Fechamento</t>
  </si>
  <si>
    <t>Maquinas</t>
  </si>
  <si>
    <t>TM</t>
  </si>
  <si>
    <t>Lotação</t>
  </si>
  <si>
    <t>Rótulos de Linha</t>
  </si>
  <si>
    <t>Total Geral</t>
  </si>
  <si>
    <t>Vendas 7Pay</t>
  </si>
  <si>
    <t>Variação (%)</t>
  </si>
  <si>
    <t>LOJA PUB</t>
  </si>
  <si>
    <t>ESTABELECIMENTO</t>
  </si>
  <si>
    <t>2</t>
  </si>
  <si>
    <t xml:space="preserve">FECHAMENTO SIPAG </t>
  </si>
  <si>
    <t>Vendas Sipag</t>
  </si>
  <si>
    <t xml:space="preserve">FECHAMENTO 7PAY </t>
  </si>
  <si>
    <t>Bilheteria / Data</t>
  </si>
  <si>
    <t>olqc3o18a5ur7ko64t026rjr</t>
  </si>
  <si>
    <t>2026-07-09 08:00:26</t>
  </si>
  <si>
    <t>AMEX</t>
  </si>
  <si>
    <t>t6vxdp5gjlqm5k8p4q0b8ic8</t>
  </si>
  <si>
    <t>2026-07-09 08:00:37</t>
  </si>
  <si>
    <t>4</t>
  </si>
  <si>
    <t>re8qjnv8z2flu7u6n7hv3izk</t>
  </si>
  <si>
    <t>2026-07-09 08:01:50</t>
  </si>
  <si>
    <t>sm43d8w3zp08j3trp0j43d5i</t>
  </si>
  <si>
    <t>2026-07-09 08:02:21</t>
  </si>
  <si>
    <t>h2m5zja8dzr1yxr2dhylurtp</t>
  </si>
  <si>
    <t>2026-07-09 08:03:32</t>
  </si>
  <si>
    <t>t1ghr09skdgigatj9tze5r5u</t>
  </si>
  <si>
    <t>2026-07-09 08:03:52</t>
  </si>
  <si>
    <t>ocwbfuk9e1v2isqp49kwv08h</t>
  </si>
  <si>
    <t>2026-07-09 08:06:03</t>
  </si>
  <si>
    <t>vkizzqy72wx7ptx63cfl0uke</t>
  </si>
  <si>
    <t>2026-07-09 08:07:05</t>
  </si>
  <si>
    <t>60vaiy4va13u1gspk9p38qol</t>
  </si>
  <si>
    <t>2026-07-09 08:07:51</t>
  </si>
  <si>
    <t>bdje153a5qbswrpbjek5rbw2</t>
  </si>
  <si>
    <t>2026-07-09 08:08:32</t>
  </si>
  <si>
    <t>ELO</t>
  </si>
  <si>
    <t>e3rzsj49itn7s55j2o7s3kkv</t>
  </si>
  <si>
    <t>2026-07-09 08:10:10</t>
  </si>
  <si>
    <t>qlgzui1b0z3nx39rbsv55psq</t>
  </si>
  <si>
    <t>2026-07-09 08:10:33</t>
  </si>
  <si>
    <t>oclyt8w5rtwiykid91zdfkbl</t>
  </si>
  <si>
    <t>2026-07-09 08:12:32</t>
  </si>
  <si>
    <t>c5wi6fqjja26yfpmvxpj4hnr</t>
  </si>
  <si>
    <t>2026-07-09 08:16:07</t>
  </si>
  <si>
    <t>a52960361i2hgj11yedwb2bn</t>
  </si>
  <si>
    <t>2026-07-09 08:21:16</t>
  </si>
  <si>
    <t>nsjf678k52qc1iyyo4udojen</t>
  </si>
  <si>
    <t>2026-07-09 08:22:58</t>
  </si>
  <si>
    <t>3</t>
  </si>
  <si>
    <t>w7lvxwqzxebb9eitnn8ztv05</t>
  </si>
  <si>
    <t>2026-07-09 08:25:50</t>
  </si>
  <si>
    <t>p84dyt9moge4qxxva2ieuc1h</t>
  </si>
  <si>
    <t>2026-07-09 08:26:40</t>
  </si>
  <si>
    <t>4fejgxaa2ilgb0s0r2sds8b2</t>
  </si>
  <si>
    <t>2026-07-09 08:27:04</t>
  </si>
  <si>
    <t>r6ccvcjwtl9tqvdz4x1zhqim</t>
  </si>
  <si>
    <t>2026-07-09 08:27:19</t>
  </si>
  <si>
    <t>rddp0nec8uyo57p6bkldsfr4</t>
  </si>
  <si>
    <t>2026-07-09 08:28:59</t>
  </si>
  <si>
    <t>93wxa73jgzlma5uofwb0hpmn</t>
  </si>
  <si>
    <t>2026-07-09 08:30:08</t>
  </si>
  <si>
    <t>bcppvohsmdyvslh9bh811ker</t>
  </si>
  <si>
    <t>2026-07-09 08:32:32</t>
  </si>
  <si>
    <t>5ba75uuzpeal2w37d4ivsolm</t>
  </si>
  <si>
    <t>2026-07-09 08:34:18</t>
  </si>
  <si>
    <t>m8xfdjgf1c8wquuy5x9l8lpq</t>
  </si>
  <si>
    <t>2026-07-09 08:34:42</t>
  </si>
  <si>
    <t>c3c54wsqt26q3xlrfcd6mzsg</t>
  </si>
  <si>
    <t>2026-07-09 08:35:03</t>
  </si>
  <si>
    <t>n1ybwmlunj48vfcx7lxxezdu</t>
  </si>
  <si>
    <t>2026-07-09 08:39:21</t>
  </si>
  <si>
    <t>Negado</t>
  </si>
  <si>
    <t>dysal8m1g9fk2st0sx5wvfgy</t>
  </si>
  <si>
    <t>2026-07-09 08:41:47</t>
  </si>
  <si>
    <t>k0qtl3q4n89qkns832ejx5td</t>
  </si>
  <si>
    <t>2026-07-09 08:42:17</t>
  </si>
  <si>
    <t>3d6357oonncildzmfb7r31qw</t>
  </si>
  <si>
    <t>2026-07-09 08:43:24</t>
  </si>
  <si>
    <t>kkbp2qd6vasifpwioxd9css9</t>
  </si>
  <si>
    <t>2026-07-09 08:43:34</t>
  </si>
  <si>
    <t>cixdu1emmx3y9rgez7bh25ll</t>
  </si>
  <si>
    <t>2026-07-09 08:45:41</t>
  </si>
  <si>
    <t>m25len606n9rr7s20cv3tlcx</t>
  </si>
  <si>
    <t>2026-07-09 08:47:27</t>
  </si>
  <si>
    <t>m9j98cwn2y8fv2bc2nnuvy8n</t>
  </si>
  <si>
    <t>2026-07-09 08:48:09</t>
  </si>
  <si>
    <t>ags6e1zhwy9hecgz9389yztk</t>
  </si>
  <si>
    <t>2026-07-09 08:48:28</t>
  </si>
  <si>
    <t>i92irmuq9e5cozroouelcqse</t>
  </si>
  <si>
    <t>2026-07-09 08:50:03</t>
  </si>
  <si>
    <t>fflzm764jwtektsg7fxzv4u3</t>
  </si>
  <si>
    <t>2026-07-09 08:50:28</t>
  </si>
  <si>
    <t>xrwk8r2ykccprhvlz049enul</t>
  </si>
  <si>
    <t>2026-07-09 08:51:27</t>
  </si>
  <si>
    <t>8637zgf9q5rdoqivbkv4ykad</t>
  </si>
  <si>
    <t>2026-07-09 08:54:46</t>
  </si>
  <si>
    <t>unknqt3wvedn9unfvobbz2sf</t>
  </si>
  <si>
    <t>2026-07-09 08:54:51</t>
  </si>
  <si>
    <t>ssruraldol65wvjx8uibrsz1</t>
  </si>
  <si>
    <t>2026-07-09 08:55:15</t>
  </si>
  <si>
    <t>pohswq40zsu9rn8qtty5y2jr</t>
  </si>
  <si>
    <t>2026-07-09 08:55:29</t>
  </si>
  <si>
    <t>zlm72jeyn9382kkzmpjrht7z</t>
  </si>
  <si>
    <t>2026-07-09 08:59:10</t>
  </si>
  <si>
    <t>bozd1at7o75rh8lx6dut076g</t>
  </si>
  <si>
    <t>2026-07-09 09:01:05</t>
  </si>
  <si>
    <t>05kbkv7mqxs6esj3l0xzamky</t>
  </si>
  <si>
    <t>2026-07-09 09:02:07</t>
  </si>
  <si>
    <t>d9r7anqjluujmiyqfy751yw7</t>
  </si>
  <si>
    <t>2026-07-09 09:02:26</t>
  </si>
  <si>
    <t>nz61231yv2stn7e36htf4pyz</t>
  </si>
  <si>
    <t>2026-07-09 09:03:16</t>
  </si>
  <si>
    <t>uylajahcpztc69qkgex08n6q</t>
  </si>
  <si>
    <t>2026-07-09 09:03:52</t>
  </si>
  <si>
    <t>9oe9419qzpniqfg51bxw76ic</t>
  </si>
  <si>
    <t>2026-07-09 09:04:02</t>
  </si>
  <si>
    <t>h5csk30lvylkfxhkc856wpr9</t>
  </si>
  <si>
    <t>2026-07-09 09:04:18</t>
  </si>
  <si>
    <t>r4kz36u8ueihx74d0gjyv5g1</t>
  </si>
  <si>
    <t>2026-07-09 09:06:12</t>
  </si>
  <si>
    <t>e9rivh6t1ntmjsrd9q46nouh</t>
  </si>
  <si>
    <t>2026-07-09 09:06:34</t>
  </si>
  <si>
    <t>n4rxyj38xrg2gzr7txcb48y1</t>
  </si>
  <si>
    <t>2026-07-09 09:09:23</t>
  </si>
  <si>
    <t>wywrratatj9a3y36ddfgs3jo</t>
  </si>
  <si>
    <t>2026-07-09 09:09:56</t>
  </si>
  <si>
    <t>3c9xbonrwzc4xl9967i6yuj7</t>
  </si>
  <si>
    <t>2026-07-09 09:12:17</t>
  </si>
  <si>
    <t>v1zocfi4o6l1f90s9bp4m18o</t>
  </si>
  <si>
    <t>2026-07-09 09:13:37</t>
  </si>
  <si>
    <t>yxdw2zcfzw0ldalmjegqtoam</t>
  </si>
  <si>
    <t>2026-07-09 09:14:13</t>
  </si>
  <si>
    <t>0u9isygjjfgjk2n7zrwqeao4</t>
  </si>
  <si>
    <t>2026-07-09 09:14:50</t>
  </si>
  <si>
    <t>el8hl88kzruin3oeuvtyt8qz</t>
  </si>
  <si>
    <t>2026-07-09 09:15:08</t>
  </si>
  <si>
    <t>rwixz2c9ros7yt2m6twd1xmx</t>
  </si>
  <si>
    <t>2026-07-09 09:15:35</t>
  </si>
  <si>
    <t>ddh0uyhnqyyf9rk7d30mm2sm</t>
  </si>
  <si>
    <t>2026-07-09 09:15:49</t>
  </si>
  <si>
    <t>md270stlpq2wgxo05qpahkz2</t>
  </si>
  <si>
    <t>2026-07-09 09:15:58</t>
  </si>
  <si>
    <t>5sxvwvm4w3zkwdeekgyspeng</t>
  </si>
  <si>
    <t>2026-07-09 09:16:25</t>
  </si>
  <si>
    <t>g4w58rhnuxorzpgu2hbik2u1</t>
  </si>
  <si>
    <t>2026-07-09 09:17:23</t>
  </si>
  <si>
    <t>11php0xi5bj5d5e3h0y4vpw2</t>
  </si>
  <si>
    <t>2026-07-09 09:17:32</t>
  </si>
  <si>
    <t>ku8s63e1ocjxzefli4ofwwnc</t>
  </si>
  <si>
    <t>2026-07-09 09:17:59</t>
  </si>
  <si>
    <t>a100qxmcthphj3muurmybd2q</t>
  </si>
  <si>
    <t>2026-07-09 09:19:14</t>
  </si>
  <si>
    <t>965k55dmcxxbw01pddhcvsqa</t>
  </si>
  <si>
    <t>2026-07-09 09:19:32</t>
  </si>
  <si>
    <t>d3dnkn35xycuvfmh07wph6fe</t>
  </si>
  <si>
    <t>2026-07-09 09:20:01</t>
  </si>
  <si>
    <t>vv2y4xkss0kb68rervt997e4</t>
  </si>
  <si>
    <t>2026-07-09 09:22:11</t>
  </si>
  <si>
    <t>ah78okz1poxtfdc79flv1xxl</t>
  </si>
  <si>
    <t>2026-07-09 09:22:20</t>
  </si>
  <si>
    <t>wbxxgaearms3jn050e6mpsj9</t>
  </si>
  <si>
    <t>2026-07-09 09:24:37</t>
  </si>
  <si>
    <t>du0isb5iqnf74t60plozjcns</t>
  </si>
  <si>
    <t>2026-07-09 09:26:01</t>
  </si>
  <si>
    <t>1ldqnk20in8910t2f7atwyam</t>
  </si>
  <si>
    <t>2026-07-09 09:26:04</t>
  </si>
  <si>
    <t>89fkbi4o6q0uswovcxek47o3</t>
  </si>
  <si>
    <t>2026-07-09 09:27:09</t>
  </si>
  <si>
    <t>dqlem1qq4d3kzvh4fz8obk3g</t>
  </si>
  <si>
    <t>2026-07-09 09:27:30</t>
  </si>
  <si>
    <t>ec2ihoy7dv7c9hx3d43e7b7p</t>
  </si>
  <si>
    <t>2026-07-09 09:29:32</t>
  </si>
  <si>
    <t>5bwikotckeh5sw2292mtr6sn</t>
  </si>
  <si>
    <t>2026-07-09 09:32:37</t>
  </si>
  <si>
    <t>199dxj37c9h42m44gv3z6bz8</t>
  </si>
  <si>
    <t>2026-07-09 09:33:33</t>
  </si>
  <si>
    <t>gbcvarlw3mg25cfzfdsnczxv</t>
  </si>
  <si>
    <t>2026-07-09 09:34:57</t>
  </si>
  <si>
    <t>g8y72ivglye088o98bv78hu7</t>
  </si>
  <si>
    <t>2026-07-09 09:39:17</t>
  </si>
  <si>
    <t>y0mahym2zbppfo5mn32u1iq2</t>
  </si>
  <si>
    <t>2026-07-09 09:40:48</t>
  </si>
  <si>
    <t>c79m96zpxvpbl9ot7txkdotr</t>
  </si>
  <si>
    <t>2026-07-09 09:41:18</t>
  </si>
  <si>
    <t>hw9re2q6jxnnngbpj4ufzdy3</t>
  </si>
  <si>
    <t>2026-07-09 09:41:52</t>
  </si>
  <si>
    <t>pt5r5rc6zs62ywe1g983ep9p</t>
  </si>
  <si>
    <t>2026-07-09 09:42:00</t>
  </si>
  <si>
    <t>ut4s7azv2efuu8dd22555jxu</t>
  </si>
  <si>
    <t>2026-07-09 09:42:20</t>
  </si>
  <si>
    <t>5ybrjnm2l44y9ik01l0vdp6o</t>
  </si>
  <si>
    <t>2026-07-09 09:43:01</t>
  </si>
  <si>
    <t>zo2sug5hcbbmhnqo7yirq8rt</t>
  </si>
  <si>
    <t>2026-07-09 09:45:38</t>
  </si>
  <si>
    <t>42hhihxs58yreg2iv7zzj64q</t>
  </si>
  <si>
    <t>2026-07-09 09:45:52</t>
  </si>
  <si>
    <t>84uvkyrmjljx8xgsic43olfa</t>
  </si>
  <si>
    <t>2026-07-09 09:46:56</t>
  </si>
  <si>
    <t>zug0it26ys445gdej31gymdm</t>
  </si>
  <si>
    <t>2026-07-09 09:47:29</t>
  </si>
  <si>
    <t>5v7c6s5nkb4ehou6qlz2rwgw</t>
  </si>
  <si>
    <t>2026-07-09 09:49:12</t>
  </si>
  <si>
    <t>ppprat0861taa0i5ldslcb8q</t>
  </si>
  <si>
    <t>2026-07-09 09:50:19</t>
  </si>
  <si>
    <t>mg87oi0e0vgnxb5jtb9xxayp</t>
  </si>
  <si>
    <t>2026-07-09 09:51:38</t>
  </si>
  <si>
    <t>xxjve3dzeedhhjshzkbrh7la</t>
  </si>
  <si>
    <t>2026-07-09 09:51:57</t>
  </si>
  <si>
    <t>s0dji9kqdgbk2l0d1b4xgmpw</t>
  </si>
  <si>
    <t>2026-07-09 09:52:16</t>
  </si>
  <si>
    <t>rp5ge094d6rupw2w5506rr5p</t>
  </si>
  <si>
    <t>2026-07-09 09:53:08</t>
  </si>
  <si>
    <t>i85sywp0rxxf36wa7sqrf1ll</t>
  </si>
  <si>
    <t>2026-07-09 09:56:13</t>
  </si>
  <si>
    <t>udrl90aobt328w6uxqm334l1</t>
  </si>
  <si>
    <t>2026-07-09 09:56:25</t>
  </si>
  <si>
    <t>m38kszbffzzdvg7oq2zdo74v</t>
  </si>
  <si>
    <t>2026-07-09 09:56:54</t>
  </si>
  <si>
    <t>74rs7gu0env5sn961j88qeoz</t>
  </si>
  <si>
    <t>2026-07-09 09:58:04</t>
  </si>
  <si>
    <t>hzy7ez9gtwz1uu7zy6t5padn</t>
  </si>
  <si>
    <t>2026-07-09 09:58:24</t>
  </si>
  <si>
    <t>fc2htmqwyuixns2zybno2y8b</t>
  </si>
  <si>
    <t>2026-07-09 09:59:21</t>
  </si>
  <si>
    <t>x1tv18kgyggsnpuevjlzfflb</t>
  </si>
  <si>
    <t>2026-07-09 09:59:45</t>
  </si>
  <si>
    <t>s2ftom5xlk8wru1xemix7ib5</t>
  </si>
  <si>
    <t>2026-07-09 10:01:36</t>
  </si>
  <si>
    <t>63n2qb6gs8g8tacy15pdtz91</t>
  </si>
  <si>
    <t>2026-07-09 10:01:50</t>
  </si>
  <si>
    <t>gjc36oqoloeazc0b4mskyvk7</t>
  </si>
  <si>
    <t>2026-07-09 10:02:11</t>
  </si>
  <si>
    <t>4kwk585x8a5fbuotdh00h64f</t>
  </si>
  <si>
    <t>79qtkcd0rlexdw6lqwlvunlp</t>
  </si>
  <si>
    <t>2026-07-09 10:05:07</t>
  </si>
  <si>
    <t>05qmktgv44ftj5ccasbuov6t</t>
  </si>
  <si>
    <t>2026-07-09 10:05:59</t>
  </si>
  <si>
    <t>0kqsosx43wfsqg8x80rmhrcn</t>
  </si>
  <si>
    <t>2026-07-09 10:06:04</t>
  </si>
  <si>
    <t>bxd8wj0uunnv6cj9io3m25a5</t>
  </si>
  <si>
    <t>2026-07-09 10:06:18</t>
  </si>
  <si>
    <t>3xoleyrvxoieves6ff7so8w5</t>
  </si>
  <si>
    <t>2026-07-09 10:10:56</t>
  </si>
  <si>
    <t>hofu1wsgy7vcneas6y3vg6v5</t>
  </si>
  <si>
    <t>2026-07-09 10:12:10</t>
  </si>
  <si>
    <t>1xsnbti22nv01zderi4k5ogz</t>
  </si>
  <si>
    <t>2026-07-09 10:12:33</t>
  </si>
  <si>
    <t>odpvjtuw9ohtugur9u1oe5ei</t>
  </si>
  <si>
    <t>2026-07-09 10:16:07</t>
  </si>
  <si>
    <t>f8adf7pchcbn9wszv83xphx2</t>
  </si>
  <si>
    <t>2026-07-09 10:16:20</t>
  </si>
  <si>
    <t>iaf92movs0cdk36m8jvh7ujo</t>
  </si>
  <si>
    <t>2026-07-09 10:17:21</t>
  </si>
  <si>
    <t>53uy8u118qqvaecw9yil8sa3</t>
  </si>
  <si>
    <t>2026-07-09 10:19:01</t>
  </si>
  <si>
    <t>m6j8y6rh05hhiwfd7yxw1tbr</t>
  </si>
  <si>
    <t>2026-07-09 10:19:12</t>
  </si>
  <si>
    <t>hub2rtsoyg9zqyahulwjtiqw</t>
  </si>
  <si>
    <t>2026-07-09 10:20:14</t>
  </si>
  <si>
    <t>geuidjipnf8f3gr94sz2kuuo</t>
  </si>
  <si>
    <t>2026-07-09 10:22:53</t>
  </si>
  <si>
    <t>mu3momyvuxt9kls1qcwq85x7</t>
  </si>
  <si>
    <t>2026-07-09 10:22:57</t>
  </si>
  <si>
    <t>lxzvo5270sqg4eij00hod7rb</t>
  </si>
  <si>
    <t>2026-07-09 10:24:31</t>
  </si>
  <si>
    <t>ikwe4bx4lr9tjq8zgvwwusxl</t>
  </si>
  <si>
    <t>2026-07-09 10:24:40</t>
  </si>
  <si>
    <t>a34mqa78rapkianouof0onjp</t>
  </si>
  <si>
    <t>2026-07-09 10:25:38</t>
  </si>
  <si>
    <t>3o4gkwwjwgabtgdjz0ifrml2</t>
  </si>
  <si>
    <t>2026-07-09 10:26:40</t>
  </si>
  <si>
    <t>otg6jna9zn9i9h0dxho87f00</t>
  </si>
  <si>
    <t>2026-07-09 10:31:05</t>
  </si>
  <si>
    <t>ewlgje2ab2rvndfdw79wcxz2</t>
  </si>
  <si>
    <t>2026-07-09 10:32:24</t>
  </si>
  <si>
    <t>an0jbzutrutlq5v4ftq3tq1s</t>
  </si>
  <si>
    <t>2026-07-09 10:32:30</t>
  </si>
  <si>
    <t>xtnsrtwlxdsc4e5hrdu4xszj</t>
  </si>
  <si>
    <t>2026-07-09 10:33:06</t>
  </si>
  <si>
    <t>xm0632cwt04chsdingxu8uu0</t>
  </si>
  <si>
    <t>2026-07-09 10:36:03</t>
  </si>
  <si>
    <t>omf9pml9ln1p0vuh17j8qo09</t>
  </si>
  <si>
    <t>2026-07-09 10:40:56</t>
  </si>
  <si>
    <t>3yjtu7fbmenui3do7002g3yu</t>
  </si>
  <si>
    <t>2026-07-09 10:41:11</t>
  </si>
  <si>
    <t>7m5p7e1047wwbslulzfy981u</t>
  </si>
  <si>
    <t>2026-07-09 10:41:45</t>
  </si>
  <si>
    <t>tjopz1rhouu9sijpyueongmx</t>
  </si>
  <si>
    <t>2026-07-09 10:42:48</t>
  </si>
  <si>
    <t>3hn14eb8753ayeqahthsjr0f</t>
  </si>
  <si>
    <t>2026-07-09 10:46:56</t>
  </si>
  <si>
    <t>wbxanj4x5a5xin9dl5tgsq7a</t>
  </si>
  <si>
    <t>ymk99jcjn9978imoe0sy5ypu</t>
  </si>
  <si>
    <t>2026-07-09 10:48:48</t>
  </si>
  <si>
    <t>et25lzse99f77lu8el5015oo</t>
  </si>
  <si>
    <t>2026-07-09 10:49:04</t>
  </si>
  <si>
    <t>dg1wjuiiymyrsvzn4regb1aj</t>
  </si>
  <si>
    <t>2026-07-09 10:49:47</t>
  </si>
  <si>
    <t>rlqiob0nlw0vs52sq3b9so0u</t>
  </si>
  <si>
    <t>2026-07-09 10:49:49</t>
  </si>
  <si>
    <t>qpwbsf3q0e27zeoqgvzhqjy6</t>
  </si>
  <si>
    <t>2026-07-09 10:51:57</t>
  </si>
  <si>
    <t>z09wftbgm55ff1bl08kg68a1</t>
  </si>
  <si>
    <t>2026-07-09 10:52:18</t>
  </si>
  <si>
    <t>xqpva5kw3hgbmfbuvldd9fkx</t>
  </si>
  <si>
    <t>2026-07-09 10:52:45</t>
  </si>
  <si>
    <t>l6314cqe4lohhcu9td0v2zp4</t>
  </si>
  <si>
    <t>2026-07-09 10:53:50</t>
  </si>
  <si>
    <t>r35ikgeq20hwobm3hxyjckt1</t>
  </si>
  <si>
    <t>2026-07-09 10:53:53</t>
  </si>
  <si>
    <t>g47rrbefq56q37csuytaul62</t>
  </si>
  <si>
    <t>2026-07-09 10:54:23</t>
  </si>
  <si>
    <t>4uov51zlboriq8hke226pars</t>
  </si>
  <si>
    <t>2026-07-09 10:54:44</t>
  </si>
  <si>
    <t>7ye0qzsa7yvdqbsxlul6lgjl</t>
  </si>
  <si>
    <t>2026-07-09 10:56:27</t>
  </si>
  <si>
    <t>shmlfzkicwmpeqydbpgvv4zw</t>
  </si>
  <si>
    <t>2026-07-09 10:56:29</t>
  </si>
  <si>
    <t>d2zdlx1q8f6jng7l4lrcer4k</t>
  </si>
  <si>
    <t>2026-07-09 10:57:29</t>
  </si>
  <si>
    <t>uckqviifrchyp9umygy0z4ev</t>
  </si>
  <si>
    <t>2026-07-09 10:57:39</t>
  </si>
  <si>
    <t>yv3lxchfu131xqkwqh5k2y77</t>
  </si>
  <si>
    <t>2026-07-09 10:58:28</t>
  </si>
  <si>
    <t>4c68au9dkbpvwzophgft4mpk</t>
  </si>
  <si>
    <t>2026-07-09 10:59:49</t>
  </si>
  <si>
    <t>ee346z7wqp3nipar0zj7ubbr</t>
  </si>
  <si>
    <t>2026-07-09 11:00:21</t>
  </si>
  <si>
    <t>c6dr08cw2lbm2qsq0p82kb70</t>
  </si>
  <si>
    <t>2026-07-09 11:01:39</t>
  </si>
  <si>
    <t>kcs4kek4aegvfq3jzr25mdf7</t>
  </si>
  <si>
    <t>2026-07-09 11:05:20</t>
  </si>
  <si>
    <t>wh0mx1egok01tnzrf5a7qy8y</t>
  </si>
  <si>
    <t>2026-07-09 11:06:55</t>
  </si>
  <si>
    <t>mjdxo100vhmygty3addqhkga</t>
  </si>
  <si>
    <t>2026-07-09 11:10:05</t>
  </si>
  <si>
    <t>e4ex6u86zjq7w7jp61lfc1nl</t>
  </si>
  <si>
    <t>2026-07-09 11:12:06</t>
  </si>
  <si>
    <t>grf1hx6zdcujq6fx7xjz6us7</t>
  </si>
  <si>
    <t>2026-07-09 11:13:23</t>
  </si>
  <si>
    <t>83ru7myow8dt8cq1xgbngz6w</t>
  </si>
  <si>
    <t>2026-07-09 11:15:02</t>
  </si>
  <si>
    <t>vrctlt4q9bc2be3yqy5fu7bf</t>
  </si>
  <si>
    <t>2026-07-09 11:15:08</t>
  </si>
  <si>
    <t>63dw4c3evwchm40oeytl8hbg</t>
  </si>
  <si>
    <t>2026-07-09 11:15:54</t>
  </si>
  <si>
    <t>ue2wnf5ca7zvky2refjqigyv</t>
  </si>
  <si>
    <t>2026-07-09 11:20:25</t>
  </si>
  <si>
    <t>ietdn1th1xjg2y8rgybxkpm2</t>
  </si>
  <si>
    <t>2026-07-09 11:22:58</t>
  </si>
  <si>
    <t>ciqup06idiioh6cvbphvgnqg</t>
  </si>
  <si>
    <t>2026-07-09 11:27:25</t>
  </si>
  <si>
    <t>e4qgm5v2wwg84d4r9v4k00il</t>
  </si>
  <si>
    <t>2026-07-09 11:27:37</t>
  </si>
  <si>
    <t>bq1btr23qiua08ekxdrkz40a</t>
  </si>
  <si>
    <t>2026-07-09 11:27:45</t>
  </si>
  <si>
    <t>w4c6lbpj8t22c50b8y5dnwng</t>
  </si>
  <si>
    <t>2026-07-09 11:27:58</t>
  </si>
  <si>
    <t>r7u8h0imjyjcmrsezytkw283</t>
  </si>
  <si>
    <t>2026-07-09 11:29:16</t>
  </si>
  <si>
    <t>jzr5swk8tempxkc5i8xomxlv</t>
  </si>
  <si>
    <t>2026-07-09 11:29:32</t>
  </si>
  <si>
    <t>2ink4fk8wftggz62fe9upnhz</t>
  </si>
  <si>
    <t>2026-07-09 11:30:01</t>
  </si>
  <si>
    <t>ea7187f8tsxk6819y207merb</t>
  </si>
  <si>
    <t>2026-07-09 11:30:56</t>
  </si>
  <si>
    <t>hs21hd4y89orvscyozpnamlq</t>
  </si>
  <si>
    <t>2026-07-09 11:32:22</t>
  </si>
  <si>
    <t>8p6fvdhr59c81do6ouz1egnt</t>
  </si>
  <si>
    <t>2026-07-09 11:35:12</t>
  </si>
  <si>
    <t>aaj84rx6pryiej9c0uu5wrye</t>
  </si>
  <si>
    <t>2026-07-09 11:37:11</t>
  </si>
  <si>
    <t>5efjp6mkt7s1gd1t53ykyydu</t>
  </si>
  <si>
    <t>2026-07-09 11:37:15</t>
  </si>
  <si>
    <t>fhg6w3stt1eqc37rln36v1mz</t>
  </si>
  <si>
    <t>2026-07-09 11:37:30</t>
  </si>
  <si>
    <t>eecy2c11bd2scejcy127h6gm</t>
  </si>
  <si>
    <t>2026-07-09 11:37:59</t>
  </si>
  <si>
    <t>wsc31tz8g1a0774rzgyd49ps</t>
  </si>
  <si>
    <t>2026-07-09 11:39:42</t>
  </si>
  <si>
    <t>ublekvl9ptk4gc4ryg9rdpxd</t>
  </si>
  <si>
    <t>2026-07-09 11:42:22</t>
  </si>
  <si>
    <t>9mv9e40kzuj2xorvork1djrw</t>
  </si>
  <si>
    <t>2026-07-09 11:43:06</t>
  </si>
  <si>
    <t>yfwdc112hxrjm4t8bp6nlnqb</t>
  </si>
  <si>
    <t>2026-07-09 11:48:50</t>
  </si>
  <si>
    <t>urttqufcjvny1kcven3v1wnp</t>
  </si>
  <si>
    <t>2026-07-09 11:49:27</t>
  </si>
  <si>
    <t>ckmalq5u6jzv9nou3dyms1mw</t>
  </si>
  <si>
    <t>2026-07-09 11:49:34</t>
  </si>
  <si>
    <t>4hjku2w8zuvjutpmc3skxloj</t>
  </si>
  <si>
    <t>2026-07-09 11:50:03</t>
  </si>
  <si>
    <t>h80q7tw1puwsnffykpl3cho3</t>
  </si>
  <si>
    <t>2026-07-09 11:50:26</t>
  </si>
  <si>
    <t>lr9p6hjb2jtxb02b6lkc86y5</t>
  </si>
  <si>
    <t>2026-07-09 11:51:20</t>
  </si>
  <si>
    <t>7s387j5ie3lvo0ipfg8pjvrn</t>
  </si>
  <si>
    <t>2026-07-09 11:52:14</t>
  </si>
  <si>
    <t>z3a8v4x7y2itl8n3e54n6o9j</t>
  </si>
  <si>
    <t>2026-07-09 11:52:49</t>
  </si>
  <si>
    <t>pl3x2jc2r07lp7dfjcp0tlz1</t>
  </si>
  <si>
    <t>2026-07-09 11:53:25</t>
  </si>
  <si>
    <t>udiz1xevo7q5egvlkdnon4ua</t>
  </si>
  <si>
    <t>2026-07-09 11:53:28</t>
  </si>
  <si>
    <t>hzgopjdn8ezp7qyezg52kre4</t>
  </si>
  <si>
    <t>2026-07-09 11:54:00</t>
  </si>
  <si>
    <t>fkjw6nyqaelyyzz0jdcli697</t>
  </si>
  <si>
    <t>2026-07-09 11:55:10</t>
  </si>
  <si>
    <t>uujs75eltfebe5407k5w1jl6</t>
  </si>
  <si>
    <t>2026-07-09 11:57:47</t>
  </si>
  <si>
    <t>2bfibjzp97bmzrr45ed5ggsj</t>
  </si>
  <si>
    <t>2026-07-09 11:58:48</t>
  </si>
  <si>
    <t>irdlk9en7dlbqzrwjxlbwq89</t>
  </si>
  <si>
    <t>2026-07-09 11:59:01</t>
  </si>
  <si>
    <t>vdji1oahnox8fk2076vmdnhq</t>
  </si>
  <si>
    <t>2026-07-09 11:59:33</t>
  </si>
  <si>
    <t>wds9yxz7sxdqc2k9ykiput7s</t>
  </si>
  <si>
    <t>2026-07-09 11:59:52</t>
  </si>
  <si>
    <t>1a0q24bozl01q3m73hc9jypa</t>
  </si>
  <si>
    <t>2026-07-09 12:00:32</t>
  </si>
  <si>
    <t>rw9myyokeaea84hxxpw2gkqr</t>
  </si>
  <si>
    <t>2026-07-09 12:00:46</t>
  </si>
  <si>
    <t>vhu4bawz940vtkrrvwy3rztp</t>
  </si>
  <si>
    <t>2026-07-09 12:02:57</t>
  </si>
  <si>
    <t>7mzakgmih6mv4xekz83y0224</t>
  </si>
  <si>
    <t>2026-07-09 12:03:29</t>
  </si>
  <si>
    <t>27riu9mjyg4s3meiur9211u6</t>
  </si>
  <si>
    <t>2026-07-09 12:03:48</t>
  </si>
  <si>
    <t>92v4dusgehn0z1r5fn3eh81a</t>
  </si>
  <si>
    <t>2026-07-09 12:05:22</t>
  </si>
  <si>
    <t>i1t2ep768sy7p1zscmo1pob7</t>
  </si>
  <si>
    <t>2026-07-09 12:05:25</t>
  </si>
  <si>
    <t>skoytk06akt7zqht2xz52ohk</t>
  </si>
  <si>
    <t>2026-07-09 12:08:35</t>
  </si>
  <si>
    <t>dts1fb2vi109dcnwmbxek0q9</t>
  </si>
  <si>
    <t>2026-07-09 12:08:55</t>
  </si>
  <si>
    <t>yzsilu3ndz3cc5rqnsvsojrp</t>
  </si>
  <si>
    <t>2026-07-09 12:10:03</t>
  </si>
  <si>
    <t>ezez5ehr07n8voeubfn9kr2f</t>
  </si>
  <si>
    <t>2026-07-09 12:10:10</t>
  </si>
  <si>
    <t>tcbrlqmn44eew1yf0dwwn6mb</t>
  </si>
  <si>
    <t>2026-07-09 12:11:20</t>
  </si>
  <si>
    <t>lxxd8t18s1saxt8jh34udtlv</t>
  </si>
  <si>
    <t>2026-07-09 12:14:07</t>
  </si>
  <si>
    <t>nd9tkg1f8yc8gzkdf6j76biv</t>
  </si>
  <si>
    <t>2026-07-09 12:14:16</t>
  </si>
  <si>
    <t>cbw6atvd1xeuq4s2ftgi88tb</t>
  </si>
  <si>
    <t>2026-07-09 12:16:07</t>
  </si>
  <si>
    <t>7jjy94h4kftcdz3095hs258w</t>
  </si>
  <si>
    <t>2026-07-09 12:16:32</t>
  </si>
  <si>
    <t>yxar6yo6z1t2xcb3yym33mg1</t>
  </si>
  <si>
    <t>2026-07-09 12:16:54</t>
  </si>
  <si>
    <t>zg3w3h98brzva9wdjsgg0yvg</t>
  </si>
  <si>
    <t>2026-07-09 12:18:11</t>
  </si>
  <si>
    <t>2gy9ytjuq7x7b7p9jyqn15ik</t>
  </si>
  <si>
    <t>2026-07-09 12:18:34</t>
  </si>
  <si>
    <t>iy87hlcwbpa274ir833sicvp</t>
  </si>
  <si>
    <t>2026-07-09 12:19:57</t>
  </si>
  <si>
    <t>6y2c2bvpdcb4owo52wqqpwdx</t>
  </si>
  <si>
    <t>2026-07-09 12:20:42</t>
  </si>
  <si>
    <t>46esmrwgebevsxmvtfqvk8sx</t>
  </si>
  <si>
    <t>2026-07-09 12:21:19</t>
  </si>
  <si>
    <t>xhcgryqy4umkld56r7wyqhr1</t>
  </si>
  <si>
    <t>2026-07-09 12:21:32</t>
  </si>
  <si>
    <t>cbekgv1bbhg5zmtga46ayn2d</t>
  </si>
  <si>
    <t>2026-07-09 12:23:05</t>
  </si>
  <si>
    <t>5cf72gnnv9ibwgt2lb25485h</t>
  </si>
  <si>
    <t>2026-07-09 12:25:25</t>
  </si>
  <si>
    <t>1nsgzsr8ruw2xh6qihpnf4jd</t>
  </si>
  <si>
    <t>2026-07-09 12:26:29</t>
  </si>
  <si>
    <t>qo2lngixmc4sx27dcbhhlk3y</t>
  </si>
  <si>
    <t>2026-07-09 12:26:49</t>
  </si>
  <si>
    <t>ak32oouxqs1foi0rs210q2lg</t>
  </si>
  <si>
    <t>2026-07-09 12:27:23</t>
  </si>
  <si>
    <t>0rxmip11ykvubf99u26uon8c</t>
  </si>
  <si>
    <t>2026-07-09 12:27:26</t>
  </si>
  <si>
    <t>yg3vah6nhksqnal6o9ep0o6h</t>
  </si>
  <si>
    <t>2026-07-09 12:27:29</t>
  </si>
  <si>
    <t>syjafco3s65qu0k5qzzkw3gi</t>
  </si>
  <si>
    <t>2026-07-09 12:28:55</t>
  </si>
  <si>
    <t>5jwk6z0hr9t9cd1lqjsqcz0n</t>
  </si>
  <si>
    <t>2026-07-09 12:29:22</t>
  </si>
  <si>
    <t>yqqcxzpqkf4vge0gyajpgz6t</t>
  </si>
  <si>
    <t>2026-07-09 12:30:03</t>
  </si>
  <si>
    <t>olba117nidp9mgyh523ggodl</t>
  </si>
  <si>
    <t>2026-07-09 12:30:46</t>
  </si>
  <si>
    <t>mgoloqc3xnchkv9dt94g8v9z</t>
  </si>
  <si>
    <t>2026-07-09 12:31:03</t>
  </si>
  <si>
    <t>a6qs0szaa1eipicerhnxi09p</t>
  </si>
  <si>
    <t>2026-07-09 12:31:35</t>
  </si>
  <si>
    <t>ka4lit6xiyzvnlpa5cgwfhdv</t>
  </si>
  <si>
    <t>2026-07-09 12:32:11</t>
  </si>
  <si>
    <t>vku8h5r8mnqpvpf8r1pc6ktt</t>
  </si>
  <si>
    <t>2026-07-09 12:32:33</t>
  </si>
  <si>
    <t>zh6a50nooo0nl9c59e7f1811</t>
  </si>
  <si>
    <t>2026-07-09 12:32:51</t>
  </si>
  <si>
    <t>ib3wyzxjqyjv84a1x7ov6sgp</t>
  </si>
  <si>
    <t>2026-07-09 12:34:17</t>
  </si>
  <si>
    <t>175du23jh0zagrd1ppkpgger</t>
  </si>
  <si>
    <t>2026-07-09 12:34:36</t>
  </si>
  <si>
    <t>g1j6oww5fknjmvrydc1au9ds</t>
  </si>
  <si>
    <t>2026-07-09 12:38:13</t>
  </si>
  <si>
    <t>mymlinov953a5o47aet81iqy</t>
  </si>
  <si>
    <t>2026-07-09 12:43:06</t>
  </si>
  <si>
    <t>mb3lpvowcp779460khfsu4se</t>
  </si>
  <si>
    <t>2026-07-09 12:44:49</t>
  </si>
  <si>
    <t>rtig7zd9b7lnkzx8yx7wr2li</t>
  </si>
  <si>
    <t>2026-07-09 12:45:18</t>
  </si>
  <si>
    <t>28pijkemvg7ueln0lvgnp127</t>
  </si>
  <si>
    <t>2026-07-09 12:46:07</t>
  </si>
  <si>
    <t>3khyfk043blsyj4uwhk8c3fz</t>
  </si>
  <si>
    <t>2026-07-09 12:46:59</t>
  </si>
  <si>
    <t>k36faoprmoc0k7ztdl25b7kx</t>
  </si>
  <si>
    <t>2026-07-09 12:47:41</t>
  </si>
  <si>
    <t>a0uy9f8p47d9gb9xv8wobiry</t>
  </si>
  <si>
    <t>2026-07-09 12:48:20</t>
  </si>
  <si>
    <t>5xjxnecrysauuj02grxpudc6</t>
  </si>
  <si>
    <t>2026-07-09 12:48:52</t>
  </si>
  <si>
    <t>svz2e186gvgt2eehfu4b9snt</t>
  </si>
  <si>
    <t>2026-07-09 12:48:55</t>
  </si>
  <si>
    <t>6ktfrl69vsyxbbf4hetvj0pt</t>
  </si>
  <si>
    <t>2026-07-09 12:49:19</t>
  </si>
  <si>
    <t>fhwjwxzuxsf3l2n8ijtyold6</t>
  </si>
  <si>
    <t>2026-07-09 12:49:30</t>
  </si>
  <si>
    <t>d7g0l3rtz5tv6g8om08tv4re</t>
  </si>
  <si>
    <t>2026-07-09 12:49:40</t>
  </si>
  <si>
    <t>b09zivzg92sjp753k48oldc0</t>
  </si>
  <si>
    <t>ps0rs95zow60zz0i0835tvv8</t>
  </si>
  <si>
    <t>2026-07-09 12:49:57</t>
  </si>
  <si>
    <t>brg8my344krjawo778s6764c</t>
  </si>
  <si>
    <t>2026-07-09 12:50:07</t>
  </si>
  <si>
    <t>oapht6o6a1jqnn6tj9xpf0a5</t>
  </si>
  <si>
    <t>2026-07-09 12:51:25</t>
  </si>
  <si>
    <t>hrxjpt2zl15s74nddafs1iym</t>
  </si>
  <si>
    <t>2026-07-09 12:51:26</t>
  </si>
  <si>
    <t>gkejzxpr2d0vg4wfeojgfah5</t>
  </si>
  <si>
    <t>2026-07-09 12:51:36</t>
  </si>
  <si>
    <t>pbdn7zi6gaxlkkvpjrmeyy1e</t>
  </si>
  <si>
    <t>2026-07-09 12:52:26</t>
  </si>
  <si>
    <t>jvddwvb853gqd7wkr1tfepz6</t>
  </si>
  <si>
    <t>2026-07-09 12:54:51</t>
  </si>
  <si>
    <t>s82gj8k8c9g3rtscpsuovhau</t>
  </si>
  <si>
    <t>2026-07-09 12:56:47</t>
  </si>
  <si>
    <t>4kjeitkx7je5b99hexw8l85j</t>
  </si>
  <si>
    <t>2026-07-09 12:57:28</t>
  </si>
  <si>
    <t>8g8t922d0nx5wt3hju31fi0n</t>
  </si>
  <si>
    <t>2026-07-09 12:59:56</t>
  </si>
  <si>
    <t>gkl53ygfpqxo0e1adnda37e1</t>
  </si>
  <si>
    <t>2026-07-09 13:00:24</t>
  </si>
  <si>
    <t>34df163lritjtabtd5oaiinm</t>
  </si>
  <si>
    <t>2026-07-09 13:02:12</t>
  </si>
  <si>
    <t>9i8kcmm7dbfpmgp6ywk5jrnj</t>
  </si>
  <si>
    <t>2026-07-09 13:02:53</t>
  </si>
  <si>
    <t>oz2rcu8kd9gnlpyo2m2xiprt</t>
  </si>
  <si>
    <t>2026-07-09 13:03:30</t>
  </si>
  <si>
    <t>hdnh4nred6m42fq4t7phi0ez</t>
  </si>
  <si>
    <t>2026-07-09 13:03:37</t>
  </si>
  <si>
    <t>rvfffia3o1qfs8q0pxaecxvg</t>
  </si>
  <si>
    <t>2026-07-09 13:03:51</t>
  </si>
  <si>
    <t>szpf9s9ehwhg0u43qlx3f2xh</t>
  </si>
  <si>
    <t>2026-07-09 13:04:10</t>
  </si>
  <si>
    <t>cv1ltwbj9uu2bl7amkoh109z</t>
  </si>
  <si>
    <t>2026-07-09 13:04:14</t>
  </si>
  <si>
    <t>nv4kfq5dz53x1f8s0x7m2mm4</t>
  </si>
  <si>
    <t>2026-07-09 13:04:18</t>
  </si>
  <si>
    <t>fwr2f5t82ddl7fkndg1jrj5x</t>
  </si>
  <si>
    <t>2026-07-09 13:04:52</t>
  </si>
  <si>
    <t>owypswldoq59b9c2zufdnu4i</t>
  </si>
  <si>
    <t>2026-07-09 13:07:45</t>
  </si>
  <si>
    <t>d0771hll9rzrkbfqxlbvn7np</t>
  </si>
  <si>
    <t>2026-07-09 13:09:58</t>
  </si>
  <si>
    <t>dcokz5syj3d6m1fmpryfzmyo</t>
  </si>
  <si>
    <t>2026-07-09 13:11:16</t>
  </si>
  <si>
    <t>l9700lfqf5e8osaq3eq8dh9p</t>
  </si>
  <si>
    <t>2026-07-09 13:11:34</t>
  </si>
  <si>
    <t>ua3a6s5zxqomts1egpgvtn4y</t>
  </si>
  <si>
    <t>2026-07-09 13:12:05</t>
  </si>
  <si>
    <t>3dxwor17dpubkpiqnhqe86o3</t>
  </si>
  <si>
    <t>2026-07-09 13:13:23</t>
  </si>
  <si>
    <t>66ya6ba24s0lgupuowob7p7o</t>
  </si>
  <si>
    <t>2026-07-09 13:16:05</t>
  </si>
  <si>
    <t>w24wjt8hdpwvbz7cn0eqwmi6</t>
  </si>
  <si>
    <t>2026-07-09 13:20:13</t>
  </si>
  <si>
    <t>j7wwudqvdk6drn4orac8cynl</t>
  </si>
  <si>
    <t>2026-07-09 13:20:34</t>
  </si>
  <si>
    <t>4emm9vasjevts1hn6bedyejh</t>
  </si>
  <si>
    <t>2026-07-09 13:22:56</t>
  </si>
  <si>
    <t>7jh4z8d2vfhzpqvjldnhm63q</t>
  </si>
  <si>
    <t>2026-07-09 13:24:05</t>
  </si>
  <si>
    <t>8toe3pgihnflayzhulickhhu</t>
  </si>
  <si>
    <t>2026-07-09 13:25:58</t>
  </si>
  <si>
    <t>h2r9peglnukx496k4o67bxcd</t>
  </si>
  <si>
    <t>2026-07-09 13:27:00</t>
  </si>
  <si>
    <t>rbk9rx647di3e950id033tay</t>
  </si>
  <si>
    <t>2026-07-09 13:27:40</t>
  </si>
  <si>
    <t>2nz7velfv46wysirrk1rd1zm</t>
  </si>
  <si>
    <t>2026-07-09 13:28:01</t>
  </si>
  <si>
    <t>hyqnrm31sl7zx4de7nqwhocp</t>
  </si>
  <si>
    <t>2026-07-09 13:28:43</t>
  </si>
  <si>
    <t>daqjrtmetmhopmpnbn7gggjv</t>
  </si>
  <si>
    <t>2026-07-09 13:30:25</t>
  </si>
  <si>
    <t>uitj5zooh3yrghwzkag6w04y</t>
  </si>
  <si>
    <t>2026-07-09 13:31:54</t>
  </si>
  <si>
    <t>pa95g1amra5rbaykis11d2mr</t>
  </si>
  <si>
    <t>2026-07-09 13:33:20</t>
  </si>
  <si>
    <t>mz6146vey0a94xfri09m0g8w</t>
  </si>
  <si>
    <t>2026-07-09 13:35:53</t>
  </si>
  <si>
    <t>g6mlv8jguz4e2u2mda7fysku</t>
  </si>
  <si>
    <t>2026-07-09 13:36:42</t>
  </si>
  <si>
    <t>eram4be52s8u8zf0p7kb7iyn</t>
  </si>
  <si>
    <t>2026-07-09 13:37:49</t>
  </si>
  <si>
    <t>uyluyhetkduwtn5pepl7zqpp</t>
  </si>
  <si>
    <t>2026-07-09 13:39:03</t>
  </si>
  <si>
    <t>kisetuk1ooa35qbb3xmdkrlc</t>
  </si>
  <si>
    <t>2026-07-09 13:40:28</t>
  </si>
  <si>
    <t>e6xfwz73whcf5sidaso7krgi</t>
  </si>
  <si>
    <t>2026-07-09 13:42:32</t>
  </si>
  <si>
    <t>g3xg0trky8ryozdppbquakx6</t>
  </si>
  <si>
    <t>2026-07-09 13:42:37</t>
  </si>
  <si>
    <t>fs4h6ssgfxuq4f2x7c4r8vgz</t>
  </si>
  <si>
    <t>2026-07-09 13:42:52</t>
  </si>
  <si>
    <t>v3cb0ixryli172d50n97cjb0</t>
  </si>
  <si>
    <t>2026-07-09 13:43:10</t>
  </si>
  <si>
    <t>qewuhryi0pt2da8dbfa1u5my</t>
  </si>
  <si>
    <t>2026-07-09 13:43:42</t>
  </si>
  <si>
    <t>42pw5uesdrbta3k3om5fktis</t>
  </si>
  <si>
    <t>2026-07-09 13:44:33</t>
  </si>
  <si>
    <t>bph5ch3l16cr3uv43mco075r</t>
  </si>
  <si>
    <t>2026-07-09 13:45:20</t>
  </si>
  <si>
    <t>25i7a2hvnyarnnezteew6mm7</t>
  </si>
  <si>
    <t>2026-07-09 13:45:33</t>
  </si>
  <si>
    <t>9az3cegbmxikvrecjtr0m6hz</t>
  </si>
  <si>
    <t>2026-07-09 13:46:34</t>
  </si>
  <si>
    <t>tdmo8rc64skte02bip18a4jv</t>
  </si>
  <si>
    <t>2026-07-09 13:51:58</t>
  </si>
  <si>
    <t>nbhgpbktmav6763v1m3pp00c</t>
  </si>
  <si>
    <t>2026-07-09 13:54:03</t>
  </si>
  <si>
    <t>quusfn07ea28ditmownx23ve</t>
  </si>
  <si>
    <t>2026-07-09 13:54:12</t>
  </si>
  <si>
    <t>8r4hc7jvlcg1j5ewfwbeby4u</t>
  </si>
  <si>
    <t>2026-07-09 13:56:16</t>
  </si>
  <si>
    <t>y4mzvmcpsiln3ox5fl2moxq9</t>
  </si>
  <si>
    <t>2026-07-09 13:58:32</t>
  </si>
  <si>
    <t>lz02z7nuxf1x889u9w0te52v</t>
  </si>
  <si>
    <t>2026-07-09 14:00:39</t>
  </si>
  <si>
    <t>1nq0ei05nms6xvqpu3et1ove</t>
  </si>
  <si>
    <t>2026-07-09 14:00:54</t>
  </si>
  <si>
    <t>uw165aejt70ebpy9e576mouz</t>
  </si>
  <si>
    <t>2026-07-09 14:01:42</t>
  </si>
  <si>
    <t>0mqoq4kreg167d6vnxnpsv8d</t>
  </si>
  <si>
    <t>2026-07-09 14:02:50</t>
  </si>
  <si>
    <t>n18b850pk5lmfkrig7jvdikd</t>
  </si>
  <si>
    <t>2026-07-09 14:04:19</t>
  </si>
  <si>
    <t>a3ah7u0s3kdz4ppj590emc20</t>
  </si>
  <si>
    <t>2026-07-09 14:06:06</t>
  </si>
  <si>
    <t>l7p72l4x5bwaen7yjf30kh58</t>
  </si>
  <si>
    <t>2026-07-09 14:06:50</t>
  </si>
  <si>
    <t>wwimt8545yrwvtkh861pqipg</t>
  </si>
  <si>
    <t>2026-07-09 14:07:39</t>
  </si>
  <si>
    <t>vybjh4oulyo3pjbrhwbqh5t2</t>
  </si>
  <si>
    <t>2026-07-09 14:09:16</t>
  </si>
  <si>
    <t>02dz61txsnhft4i26lh07ba7</t>
  </si>
  <si>
    <t>2026-07-09 14:10:36</t>
  </si>
  <si>
    <t>ije2xe0jdcz1oa3vf02gvlls</t>
  </si>
  <si>
    <t>2026-07-09 14:11:33</t>
  </si>
  <si>
    <t>d8ur6tiarontdi9oinuxl39d</t>
  </si>
  <si>
    <t>2026-07-09 14:11:38</t>
  </si>
  <si>
    <t>41cro04byv5jhurr8iqrt007</t>
  </si>
  <si>
    <t>2026-07-09 14:14:31</t>
  </si>
  <si>
    <t>h5e5rwsf5pae9z5jl6ufky28</t>
  </si>
  <si>
    <t>2026-07-09 14:15:41</t>
  </si>
  <si>
    <t>7fzrlgq9azhdqdwvcw5magk6</t>
  </si>
  <si>
    <t>2026-07-09 14:17:34</t>
  </si>
  <si>
    <t>xhvdhguesxnu4v80w6haih7w</t>
  </si>
  <si>
    <t>2026-07-09 14:21:12</t>
  </si>
  <si>
    <t>pqk1io1zm4lcvhfwjfppzje6</t>
  </si>
  <si>
    <t>2026-07-09 14:21:55</t>
  </si>
  <si>
    <t>u97ng0apsaldnj7vbjrbzjw8</t>
  </si>
  <si>
    <t>2026-07-09 14:23:32</t>
  </si>
  <si>
    <t>0xtdnwzzg4c4epzl4j4x0ly6</t>
  </si>
  <si>
    <t>2026-07-09 14:26:18</t>
  </si>
  <si>
    <t>o4yc3s0dpjhsg04ajmmuzuqe</t>
  </si>
  <si>
    <t>2026-07-09 14:26:59</t>
  </si>
  <si>
    <t>hnc0i4x6g1ebzgflig5gkzjr</t>
  </si>
  <si>
    <t>2026-07-09 14:28:03</t>
  </si>
  <si>
    <t>vfu9pxykm8t0jshhj7swrqlu</t>
  </si>
  <si>
    <t>2026-07-09 14:30:49</t>
  </si>
  <si>
    <t>xd6lqga3qupo4jnmyk8516sp</t>
  </si>
  <si>
    <t>2026-07-09 14:32:06</t>
  </si>
  <si>
    <t>587h91el88l12qfaf5kcihdi</t>
  </si>
  <si>
    <t>2026-07-09 14:35:00</t>
  </si>
  <si>
    <t>y3z1de1e1630pocr0vhv1nm3</t>
  </si>
  <si>
    <t>2026-07-09 14:35:23</t>
  </si>
  <si>
    <t>pmxpkn3b8pfy4qcyd52alunq</t>
  </si>
  <si>
    <t>2026-07-09 14:36:28</t>
  </si>
  <si>
    <t>wv2qnrmtn29tnyfm7vh30qbk</t>
  </si>
  <si>
    <t>2026-07-09 14:37:49</t>
  </si>
  <si>
    <t>mk3tgmalwvmb0idd0wpj8yi3</t>
  </si>
  <si>
    <t>2026-07-09 14:38:17</t>
  </si>
  <si>
    <t>w5n9c70pa8jx54pegjks4i2n</t>
  </si>
  <si>
    <t>2026-07-09 14:38:29</t>
  </si>
  <si>
    <t>v6yjoaoejv9lhalckz3vwlo7</t>
  </si>
  <si>
    <t>2026-07-09 14:43:16</t>
  </si>
  <si>
    <t>zyjb48wumh9nklybwgmp9a9u</t>
  </si>
  <si>
    <t>2026-07-09 14:43:37</t>
  </si>
  <si>
    <t>eohdk5199tmh6k1wxywwstio</t>
  </si>
  <si>
    <t>2026-07-09 14:44:20</t>
  </si>
  <si>
    <t>mqg6nx9owwew9v08liuqdn05</t>
  </si>
  <si>
    <t>2026-07-09 14:47:52</t>
  </si>
  <si>
    <t>g77lk6hqiv929sevl7fq8aby</t>
  </si>
  <si>
    <t>2026-07-09 14:48:24</t>
  </si>
  <si>
    <t>ze1xtar0ko31nzsxpefj31eg</t>
  </si>
  <si>
    <t>2026-07-09 14:53:27</t>
  </si>
  <si>
    <t>xc6rijkq2zuv1fkhnnk8fwrp</t>
  </si>
  <si>
    <t>2026-07-09 14:53:56</t>
  </si>
  <si>
    <t>bhkvjz09owgmf4ln5rgsg6a8</t>
  </si>
  <si>
    <t>2026-07-09 14:54:07</t>
  </si>
  <si>
    <t>mq66442sihxodlctt058cuij</t>
  </si>
  <si>
    <t>2026-07-09 14:54:27</t>
  </si>
  <si>
    <t>9jj0076ekhi1rd5b2crprdvv</t>
  </si>
  <si>
    <t>2026-07-09 14:54:58</t>
  </si>
  <si>
    <t>h3wqa1vrgss8k5ijulp98rl9</t>
  </si>
  <si>
    <t>2026-07-09 14:55:11</t>
  </si>
  <si>
    <t>y3gdilk1qy7hylgogfxlsrvp</t>
  </si>
  <si>
    <t>2026-07-09 14:56:49</t>
  </si>
  <si>
    <t>m0qpop1o8m291azhzknl2luh</t>
  </si>
  <si>
    <t>2026-07-09 14:57:50</t>
  </si>
  <si>
    <t>rzq8bxy6rkvndxjn7de0l1of</t>
  </si>
  <si>
    <t>2026-07-09 14:59:24</t>
  </si>
  <si>
    <t>1jtka1c2zl46q5gqqlyzj0ae</t>
  </si>
  <si>
    <t>2026-07-09 15:00:16</t>
  </si>
  <si>
    <t>u985ltkmccduefs4uqxgcy3q</t>
  </si>
  <si>
    <t>2026-07-09 15:00:44</t>
  </si>
  <si>
    <t>086okwoalf4v1txh376zugfl</t>
  </si>
  <si>
    <t>2026-07-09 15:06:26</t>
  </si>
  <si>
    <t>lihkpj7hme6p4np00nqohn3d</t>
  </si>
  <si>
    <t>2026-07-09 15:12:08</t>
  </si>
  <si>
    <t>m9ohdsrs8anp8dmlc8xizx35</t>
  </si>
  <si>
    <t>2026-07-09 15:12:18</t>
  </si>
  <si>
    <t>iuefz1c25xnofg7803g5dfrl</t>
  </si>
  <si>
    <t>2026-07-09 15:15:13</t>
  </si>
  <si>
    <t>5b56bnvsfa6d9er94tevwlq6</t>
  </si>
  <si>
    <t>2026-07-09 15:15:48</t>
  </si>
  <si>
    <t>4hhe7icdo5digxl9ysu51epx</t>
  </si>
  <si>
    <t>2026-07-09 15:16:15</t>
  </si>
  <si>
    <t>fb2flurmw3uqhwtek17m6j3r</t>
  </si>
  <si>
    <t>2026-07-09 15:16:31</t>
  </si>
  <si>
    <t>atd93ezemqt788g35sfy1h0s</t>
  </si>
  <si>
    <t>2026-07-09 15:16:33</t>
  </si>
  <si>
    <t>8tndfww41f7v4k88k686qe7a</t>
  </si>
  <si>
    <t>2026-07-09 15:18:02</t>
  </si>
  <si>
    <t>cof3138i2xog4c8j6e07fpy1</t>
  </si>
  <si>
    <t>2026-07-09 15:18:10</t>
  </si>
  <si>
    <t>xke0qc96mj9n6eqv5y21id9v</t>
  </si>
  <si>
    <t>2026-07-09 15:19:31</t>
  </si>
  <si>
    <t>5k0jjsp49cd3irvxd2zu4ns7</t>
  </si>
  <si>
    <t>2026-07-09 15:19:46</t>
  </si>
  <si>
    <t>1my6po0m24us73w1yaua8d72</t>
  </si>
  <si>
    <t>2026-07-09 15:21:01</t>
  </si>
  <si>
    <t>j2lzw1fu5x012grdmt28ll6d</t>
  </si>
  <si>
    <t>2026-07-09 15:23:32</t>
  </si>
  <si>
    <t>mpnfgaglsxkugwcdz6x4fmme</t>
  </si>
  <si>
    <t>2026-07-09 15:23:52</t>
  </si>
  <si>
    <t>li3if9aizh5p3fk84rpu9ggs</t>
  </si>
  <si>
    <t>2026-07-09 15:23:54</t>
  </si>
  <si>
    <t>2jn67lm8e49ite92srl3vzzx</t>
  </si>
  <si>
    <t>2026-07-09 15:24:37</t>
  </si>
  <si>
    <t>9aqx6rzcm8jj6avp1eoxlzki</t>
  </si>
  <si>
    <t>2026-07-09 15:26:04</t>
  </si>
  <si>
    <t>avzme9wt00iv1ggxred8u8no</t>
  </si>
  <si>
    <t>2026-07-09 15:29:01</t>
  </si>
  <si>
    <t>goi9wm1sav9cng8tana6u48g</t>
  </si>
  <si>
    <t>2026-07-09 15:29:42</t>
  </si>
  <si>
    <t>gp41s3qw752e77dyvgdgfwmq</t>
  </si>
  <si>
    <t>2026-07-09 15:30:20</t>
  </si>
  <si>
    <t>ni3gom6736z4dsxlsutothlq</t>
  </si>
  <si>
    <t>2026-07-09 15:32:40</t>
  </si>
  <si>
    <t>uvl911zsb8lv6tx0tbkg8b35</t>
  </si>
  <si>
    <t>2026-07-09 15:37:54</t>
  </si>
  <si>
    <t>ghlzruwbn6ek6x6lgoi7ofvw</t>
  </si>
  <si>
    <t>2026-07-09 15:38:13</t>
  </si>
  <si>
    <t>7x6oa3n4g2jayb1eycef2ctg</t>
  </si>
  <si>
    <t>2026-07-09 15:39:14</t>
  </si>
  <si>
    <t>4j1o5hd4hsbrebndycpn0p1x</t>
  </si>
  <si>
    <t>2026-07-09 15:40:48</t>
  </si>
  <si>
    <t>m87mhxofkcggxp5cituf8cyo</t>
  </si>
  <si>
    <t>2026-07-09 15:40:51</t>
  </si>
  <si>
    <t>aacnu41bta3runyn6irj9wr6</t>
  </si>
  <si>
    <t>2026-07-09 15:41:06</t>
  </si>
  <si>
    <t>5na2fqztio4m7pp0pnnlo0hh</t>
  </si>
  <si>
    <t>2026-07-09 15:41:36</t>
  </si>
  <si>
    <t>t1oxhfdxk31wbhtfnsgpynyj</t>
  </si>
  <si>
    <t>2026-07-09 15:42:02</t>
  </si>
  <si>
    <t>5e7l7w05y2da5b4l6hfh4n6v</t>
  </si>
  <si>
    <t>2026-07-09 15:42:10</t>
  </si>
  <si>
    <t>e6ouwzk4ie86db5rr1v9npuq</t>
  </si>
  <si>
    <t>2026-07-09 15:42:39</t>
  </si>
  <si>
    <t>5cekof92y8lz8cv2a6pg4gks</t>
  </si>
  <si>
    <t>mj9xxlb57aukhqnzjnns9pze</t>
  </si>
  <si>
    <t>2026-07-09 15:44:22</t>
  </si>
  <si>
    <t>dxlse33dcnf225aa35wfw5q5</t>
  </si>
  <si>
    <t>2026-07-09 15:46:06</t>
  </si>
  <si>
    <t>d8a2ibcltrh9vgky5cgaghft</t>
  </si>
  <si>
    <t>2026-07-09 15:47:08</t>
  </si>
  <si>
    <t>fwvvskp30tx8j1ccm0w3c1za</t>
  </si>
  <si>
    <t>2026-07-09 15:47:57</t>
  </si>
  <si>
    <t>0lm3nkrt0igyo5l28o5qf0n8</t>
  </si>
  <si>
    <t>2026-07-09 15:49:26</t>
  </si>
  <si>
    <t>2xgvgdofmaok8tir0p8f8c8c</t>
  </si>
  <si>
    <t>2026-07-09 15:49:33</t>
  </si>
  <si>
    <t>oalfwypeek035n8cqphli5l6</t>
  </si>
  <si>
    <t>2026-07-09 15:50:49</t>
  </si>
  <si>
    <t>82u6zv3iu6l5nfltq680cog1</t>
  </si>
  <si>
    <t>2026-07-09 15:51:05</t>
  </si>
  <si>
    <t>rfjl9vt3x8ve00h2k2p3ajfa</t>
  </si>
  <si>
    <t>2026-07-09 15:54:39</t>
  </si>
  <si>
    <t>pl7qhvkvlablrf3naplgw1xl</t>
  </si>
  <si>
    <t>2026-07-09 15:54:52</t>
  </si>
  <si>
    <t>fdfzdmmcmcoco2ztdhf15icy</t>
  </si>
  <si>
    <t>2026-07-09 15:56:17</t>
  </si>
  <si>
    <t>8elnwoskazochbirmc5s3ofa</t>
  </si>
  <si>
    <t>2026-07-09 15:56:39</t>
  </si>
  <si>
    <t>ljekbvxsogb205hu03y53mbw</t>
  </si>
  <si>
    <t>2026-07-09 15:58:31</t>
  </si>
  <si>
    <t>zzqo17rv2y7cdabbajaq08dn</t>
  </si>
  <si>
    <t>2026-07-09 15:58:36</t>
  </si>
  <si>
    <t>kbefq796ew8257ge0q5zjauc</t>
  </si>
  <si>
    <t>2026-07-09 16:00:27</t>
  </si>
  <si>
    <t>9ubc1kkr2aj5iqax54p8ri4b</t>
  </si>
  <si>
    <t>2026-07-09 16:02:32</t>
  </si>
  <si>
    <t>tlxoun91fy6yo8dje7xqty6m</t>
  </si>
  <si>
    <t>2026-07-09 16:02:36</t>
  </si>
  <si>
    <t>923o359tsujt70y2rl4n7s3h</t>
  </si>
  <si>
    <t>2026-07-09 16:02:57</t>
  </si>
  <si>
    <t>46ga2sdfc8io3td3abeg1cj8</t>
  </si>
  <si>
    <t>2026-07-09 16:03:24</t>
  </si>
  <si>
    <t>nkw7wvy9rmjr211pv58y9n81</t>
  </si>
  <si>
    <t>2026-07-09 16:04:01</t>
  </si>
  <si>
    <t>0i9bl14hoae527psqzn7xbvz</t>
  </si>
  <si>
    <t>2026-07-09 16:07:03</t>
  </si>
  <si>
    <t>f4hra1361bgmy4iqz6df08up</t>
  </si>
  <si>
    <t>2026-07-09 16:10:00</t>
  </si>
  <si>
    <t>drkupcj8mo765efuxq9njc2g</t>
  </si>
  <si>
    <t>2026-07-09 16:10:39</t>
  </si>
  <si>
    <t>c2exva5e742grrdnwt2fes5c</t>
  </si>
  <si>
    <t>2026-07-09 16:11:35</t>
  </si>
  <si>
    <t>w73o1blog0nq4i6r8so5wisr</t>
  </si>
  <si>
    <t>2026-07-09 16:13:08</t>
  </si>
  <si>
    <t>bjkx9m4v74qr14vuyv2emy9t</t>
  </si>
  <si>
    <t>2026-07-09 16:15:14</t>
  </si>
  <si>
    <t>lig9gmykvygw22ygyzthqse0</t>
  </si>
  <si>
    <t>2026-07-09 16:15:35</t>
  </si>
  <si>
    <t>3noz7qmjcentoc3jr7t3spj9</t>
  </si>
  <si>
    <t>2026-07-09 16:16:59</t>
  </si>
  <si>
    <t>19bcdted0pbxce9zkihv17mi</t>
  </si>
  <si>
    <t>2026-07-09 16:17:26</t>
  </si>
  <si>
    <t>tafuw93eioiv67kayp44qi4o</t>
  </si>
  <si>
    <t>2026-07-09 16:18:34</t>
  </si>
  <si>
    <t>hyp5masnphfc4ygohmjz6n58</t>
  </si>
  <si>
    <t>2026-07-09 16:19:24</t>
  </si>
  <si>
    <t>nr06djin9rg4xv349n1d6dzb</t>
  </si>
  <si>
    <t>2026-07-09 16:20:34</t>
  </si>
  <si>
    <t>lsidbx287gt76i3hzcd3geq1</t>
  </si>
  <si>
    <t>2026-07-09 16:21:11</t>
  </si>
  <si>
    <t>ascebfe54ukigdix1cnaq2yo</t>
  </si>
  <si>
    <t>2026-07-09 16:21:48</t>
  </si>
  <si>
    <t>u4oj7g4ebc94e6nkar1h11qv</t>
  </si>
  <si>
    <t>2026-07-09 16:22:46</t>
  </si>
  <si>
    <t>joznhe8ifxdnm655ck3tb94c</t>
  </si>
  <si>
    <t>2026-07-09 16:24:54</t>
  </si>
  <si>
    <t>cswnqmwmln2v51psxt0s9f3l</t>
  </si>
  <si>
    <t>2026-07-09 16:25:18</t>
  </si>
  <si>
    <t>nobk8hup3ftj6ac4jrcq97rc</t>
  </si>
  <si>
    <t>2026-07-09 16:27:24</t>
  </si>
  <si>
    <t>ut60wlfyzskv6iarlsr0o8k5</t>
  </si>
  <si>
    <t>2026-07-09 16:27:30</t>
  </si>
  <si>
    <t>67zsooukiw8x17copo9mnlr9</t>
  </si>
  <si>
    <t>2026-07-09 16:27:53</t>
  </si>
  <si>
    <t>mvv4dc0fp672zfbqbk4y7zxd</t>
  </si>
  <si>
    <t>2026-07-09 16:30:06</t>
  </si>
  <si>
    <t>a7263rjk4cweq4f1srikomfr</t>
  </si>
  <si>
    <t>2026-07-09 16:31:14</t>
  </si>
  <si>
    <t>4xhqzbc5f9e0klliro7yy0kz</t>
  </si>
  <si>
    <t>2026-07-09 16:34:07</t>
  </si>
  <si>
    <t>o3q825q30zx815g5fjd5mbfs</t>
  </si>
  <si>
    <t>2026-07-09 16:36:16</t>
  </si>
  <si>
    <t>wz2nar3shlx0st69wwp82qzt</t>
  </si>
  <si>
    <t>2026-07-09 16:36:36</t>
  </si>
  <si>
    <t>8c3pq5u74ij643yuoaih3iab</t>
  </si>
  <si>
    <t>2026-07-09 16:36:50</t>
  </si>
  <si>
    <t>50121xrutt247o0gxaplird7</t>
  </si>
  <si>
    <t>2026-07-09 16:38:28</t>
  </si>
  <si>
    <t>d7lttc954ai2278eqe12qeyk</t>
  </si>
  <si>
    <t>2026-07-09 16:38:58</t>
  </si>
  <si>
    <t>6w819fmsyg91mmo1ds3hgw10</t>
  </si>
  <si>
    <t>2026-07-09 16:39:08</t>
  </si>
  <si>
    <t>uqln6bguaxnm0alqeds1vrtt</t>
  </si>
  <si>
    <t>2026-07-09 16:40:46</t>
  </si>
  <si>
    <t>k4bk8ejnfmoctclka9lz57v4</t>
  </si>
  <si>
    <t>2026-07-09 16:45:46</t>
  </si>
  <si>
    <t>2ij4tt43tuyktk61b7pxjbc8</t>
  </si>
  <si>
    <t>2026-07-09 16:49:18</t>
  </si>
  <si>
    <t>76img7zd3q0e03yioy5u04ri</t>
  </si>
  <si>
    <t>2026-07-09 16:50:12</t>
  </si>
  <si>
    <t>oujw6zjvaev0yu3u8iziibco</t>
  </si>
  <si>
    <t>2026-07-09 16:50:26</t>
  </si>
  <si>
    <t>dhf025loxyphwhm54xr8pjpf</t>
  </si>
  <si>
    <t>2026-07-09 16:50:49</t>
  </si>
  <si>
    <t>kpa2tvmxqyjrofh6airh8s7d</t>
  </si>
  <si>
    <t>2026-07-09 16:51:34</t>
  </si>
  <si>
    <t>c8d6ji874u77w9a8lytuagdl</t>
  </si>
  <si>
    <t>2026-07-09 16:53:36</t>
  </si>
  <si>
    <t>mnw6l4m1trpuyd6i5ho9cy9p</t>
  </si>
  <si>
    <t>2026-07-09 16:53:41</t>
  </si>
  <si>
    <t>9x66d7wdjv07irjg107r925d</t>
  </si>
  <si>
    <t>2026-07-09 16:59:03</t>
  </si>
  <si>
    <t>1uf09uyg3ibg3hkcqwb00n11</t>
  </si>
  <si>
    <t>2026-07-09 16:59:59</t>
  </si>
  <si>
    <t>g4pdfcopzfzz5t6v8vlq3vxh</t>
  </si>
  <si>
    <t>2026-07-09 17:05:17</t>
  </si>
  <si>
    <t>24hk1qdu2eb0t4uoxz3bg52i</t>
  </si>
  <si>
    <t>2026-07-09 17:06:46</t>
  </si>
  <si>
    <t>djt3br4f2zdfppwc1qy9mbaa</t>
  </si>
  <si>
    <t>2026-07-09 17:09:14</t>
  </si>
  <si>
    <t>vcg8d2tn20vz9ly2skkftfyt</t>
  </si>
  <si>
    <t>2026-07-09 17:11:21</t>
  </si>
  <si>
    <t>bnbpavajimmnstouifjilxn3</t>
  </si>
  <si>
    <t>2026-07-09 17:11:58</t>
  </si>
  <si>
    <t>o4uw2aww77gcjbeo4eutawj4</t>
  </si>
  <si>
    <t>2026-07-09 17:12:02</t>
  </si>
  <si>
    <t>tcjfczwkguy0ofipzn0thl2c</t>
  </si>
  <si>
    <t>2026-07-09 17:12:33</t>
  </si>
  <si>
    <t>15boiymyk86adnokku3s710n</t>
  </si>
  <si>
    <t>2026-07-09 17:13:54</t>
  </si>
  <si>
    <t>cybyc4i6h1m3jlzohfddvsz2</t>
  </si>
  <si>
    <t>2026-07-09 17:14:30</t>
  </si>
  <si>
    <t>oli54087ws1loqsot56ag39b</t>
  </si>
  <si>
    <t>2026-07-09 17:14:31</t>
  </si>
  <si>
    <t>nrzjk9e0oawhn2eclces1kti</t>
  </si>
  <si>
    <t>2026-07-09 17:14:41</t>
  </si>
  <si>
    <t>07vscqmpd7z4kso03w2mrop2</t>
  </si>
  <si>
    <t>2026-07-09 17:16:24</t>
  </si>
  <si>
    <t>5b5nov31nyc7h81jmbptpdwr</t>
  </si>
  <si>
    <t>2026-07-09 17:16:32</t>
  </si>
  <si>
    <t>i6atqgkryt6ebin0byqyvbnu</t>
  </si>
  <si>
    <t>2026-07-09 17:18:20</t>
  </si>
  <si>
    <t>uf1zww1un2ktvv0y9q6ktnn8</t>
  </si>
  <si>
    <t>2026-07-09 17:18:36</t>
  </si>
  <si>
    <t>9hggg23kf8ou7oz9roe19bp0</t>
  </si>
  <si>
    <t>2026-07-09 17:21:35</t>
  </si>
  <si>
    <t>vni8e61493685efzvmt4fvmy</t>
  </si>
  <si>
    <t>2026-07-09 17:23:00</t>
  </si>
  <si>
    <t>c3arpyyfgtu91jgjti2lswbb</t>
  </si>
  <si>
    <t>2026-07-09 17:25:19</t>
  </si>
  <si>
    <t>o9e9nhcgw33a8ncxcwc0bogw</t>
  </si>
  <si>
    <t>2026-07-09 17:25:44</t>
  </si>
  <si>
    <t>hkarpkfzqfo5yvmtd503779u</t>
  </si>
  <si>
    <t>2026-07-09 17:27:53</t>
  </si>
  <si>
    <t>8hqde7m7h6oq7qh96ycfnhp3</t>
  </si>
  <si>
    <t>2026-07-09 17:29:23</t>
  </si>
  <si>
    <t>6tlv0gub5kb3pkbqy3ot760r</t>
  </si>
  <si>
    <t>2026-07-09 17:31:01</t>
  </si>
  <si>
    <t>v3dgs9gt0r0vip35t54gylbi</t>
  </si>
  <si>
    <t>2026-07-09 17:36:21</t>
  </si>
  <si>
    <t>py9qzo7io2f2natd4gwlf9yx</t>
  </si>
  <si>
    <t>2026-07-09 17:37:44</t>
  </si>
  <si>
    <t>fcx7culoqvbv1jpvktaf6blb</t>
  </si>
  <si>
    <t>2026-07-09 17:37:56</t>
  </si>
  <si>
    <t>8xkv4vtcdmws81bxd7itqrt8</t>
  </si>
  <si>
    <t>2026-07-09 17:39:17</t>
  </si>
  <si>
    <t>xqvrt4upr44esh9bxlsogwib</t>
  </si>
  <si>
    <t>2026-07-09 17:40:07</t>
  </si>
  <si>
    <t>wyubekt2mnj7ovhm3kwwetuj</t>
  </si>
  <si>
    <t>2026-07-09 17:40:08</t>
  </si>
  <si>
    <t>7mfcyltm9r6mguov5it2ni9s</t>
  </si>
  <si>
    <t>2026-07-09 17:41:51</t>
  </si>
  <si>
    <t>v11kjalw563c36vfh3mi2dno</t>
  </si>
  <si>
    <t>2026-07-09 17:43:25</t>
  </si>
  <si>
    <t>whp08d2qlaw8f52k1d1gnt9z</t>
  </si>
  <si>
    <t>2026-07-09 17:45:41</t>
  </si>
  <si>
    <t>isu1o67u61o85vo1tk5ezs96</t>
  </si>
  <si>
    <t>2026-07-09 17:45:42</t>
  </si>
  <si>
    <t>4kskwecy9a7abflxv5cix39e</t>
  </si>
  <si>
    <t>2026-07-09 17:45:46</t>
  </si>
  <si>
    <t>wp0ykkswnwzf8y7p62zko0e4</t>
  </si>
  <si>
    <t>2026-07-09 17:46:30</t>
  </si>
  <si>
    <t>3z3de4ev5xwwc05sorhtmt1o</t>
  </si>
  <si>
    <t>2026-07-09 17:47:14</t>
  </si>
  <si>
    <t>0nwrn57lws1yq6t0otgpeqcy</t>
  </si>
  <si>
    <t>2026-07-09 17:48:07</t>
  </si>
  <si>
    <t>7lguuw05802xvxitifxziu6h</t>
  </si>
  <si>
    <t>2026-07-09 17:48:42</t>
  </si>
  <si>
    <t>3k7ujj31w0gq34pggcbi6qsr</t>
  </si>
  <si>
    <t>2026-07-09 17:48:59</t>
  </si>
  <si>
    <t>f31d2o25tg5jtv75ssumh0zn</t>
  </si>
  <si>
    <t>2026-07-09 17:49:03</t>
  </si>
  <si>
    <t>kk7x34udc4fh065afu20vmak</t>
  </si>
  <si>
    <t>2026-07-09 17:49:08</t>
  </si>
  <si>
    <t>9cyrveow0ef578o1fe1yend6</t>
  </si>
  <si>
    <t>2026-07-09 17:50:27</t>
  </si>
  <si>
    <t>7hw0bupmtxq531d1kdk2ywfm</t>
  </si>
  <si>
    <t>2026-07-09 17:52:13</t>
  </si>
  <si>
    <t>4vzn8z4c0x2hyvezrad8ejpm</t>
  </si>
  <si>
    <t>2026-07-09 17:53:20</t>
  </si>
  <si>
    <t>52a97pnfircvcz8p5aiekx6m</t>
  </si>
  <si>
    <t>2026-07-09 17:55:13</t>
  </si>
  <si>
    <t>z5bcan68u1qp2wnv2mk48j4e</t>
  </si>
  <si>
    <t>2026-07-09 17:55:41</t>
  </si>
  <si>
    <t>h30oiqj7rpbad0ndv5dmcdso</t>
  </si>
  <si>
    <t>2026-07-09 17:55:55</t>
  </si>
  <si>
    <t>tjk2gzaugttmppjbeahy5ho3</t>
  </si>
  <si>
    <t>2026-07-09 17:58:25</t>
  </si>
  <si>
    <t>mcie4acjod8waceqrq6b0ji1</t>
  </si>
  <si>
    <t>2026-07-09 17:58:29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</si>
</sst>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5" formatCode="&quot;R$&quot;\ #,##0.00"/>
    <numFmt numFmtId="166" formatCode="h&quot;h&quot;"/>
    <numFmt numFmtId="170" formatCode="_(* #,##0.00_);_(* \(#,##0.00\);_(* \-??_);_(@_)"/>
    <numFmt numFmtId="173" formatCode="_(\$* #,##0.00_);_(\$* \(#,##0.00\);_(\$* \-??_);_(@_)"/>
    <numFmt numFmtId="174" formatCode="&quot;R$ &quot;#,##0.00;[Red]&quot;-R$ &quot;#,##0.00"/>
  </numFmts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mbria"/>
      <family val="1"/>
    </font>
    <font>
      <sz val="8"/>
      <name val="Calibri"/>
      <family val="2"/>
      <scheme val="minor"/>
    </font>
    <font>
      <sz val="72"/>
      <color theme="0"/>
      <name val="Eras Demi ITC"/>
      <family val="2"/>
    </font>
    <font>
      <sz val="48"/>
      <color theme="0"/>
      <name val="Eras Demi ITC"/>
      <family val="2"/>
    </font>
    <font>
      <b/>
      <sz val="22"/>
      <color theme="0"/>
      <name val="Cambria"/>
      <family val="1"/>
    </font>
    <font>
      <sz val="18"/>
      <color theme="0"/>
      <name val="Cambria"/>
      <family val="1"/>
    </font>
    <font>
      <sz val="22"/>
      <color theme="0"/>
      <name val="Cambria"/>
      <family val="1"/>
    </font>
    <font>
      <sz val="16"/>
      <color theme="0"/>
      <name val="Cambria"/>
      <family val="1"/>
    </font>
    <font>
      <b/>
      <sz val="20"/>
      <color theme="0"/>
      <name val="Cambria"/>
      <family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2">
    <xf numFmtId="0" fontId="0" fillId="0" borderId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173" fontId="17" fillId="0" borderId="0"/>
    <xf numFmtId="0" fontId="18" fillId="0" borderId="0"/>
    <xf numFmtId="0" fontId="18" fillId="0" borderId="0"/>
    <xf numFmtId="9" fontId="18" fillId="0" borderId="0"/>
    <xf numFmtId="170" fontId="18" fillId="0" borderId="0"/>
  </cellStyleXfs>
  <cellXfs count="89">
    <xf numFmtId="0" fontId="0" fillId="0" borderId="0" xfId="0"/>
    <xf numFmtId="0" fontId="3" fillId="0" borderId="0" xfId="2"/>
    <xf numFmtId="22" fontId="0" fillId="0" borderId="0" xfId="0" applyNumberFormat="1"/>
    <xf numFmtId="0" fontId="5" fillId="4" borderId="0" xfId="0" applyFont="1" applyFill="1" applyAlignment="1">
      <alignment horizontal="left" vertical="center"/>
    </xf>
    <xf numFmtId="44" fontId="0" fillId="2" borderId="0" xfId="1" applyFont="1" applyFill="1" applyAlignment="1">
      <alignment vertical="center"/>
    </xf>
    <xf numFmtId="44" fontId="0" fillId="3" borderId="0" xfId="1" applyFont="1" applyFill="1" applyAlignment="1">
      <alignment vertical="center"/>
    </xf>
    <xf numFmtId="44" fontId="7" fillId="5" borderId="0" xfId="1" applyFont="1" applyFill="1" applyAlignment="1">
      <alignment vertical="center"/>
    </xf>
    <xf numFmtId="44" fontId="7" fillId="6" borderId="0" xfId="1" applyFont="1" applyFill="1" applyAlignment="1">
      <alignment vertical="center"/>
    </xf>
    <xf numFmtId="14" fontId="0" fillId="0" borderId="0" xfId="0" applyNumberFormat="1"/>
    <xf numFmtId="44" fontId="0" fillId="5" borderId="0" xfId="1" applyFont="1" applyFill="1" applyAlignment="1">
      <alignment horizontal="center" vertical="center"/>
    </xf>
    <xf numFmtId="44" fontId="0" fillId="6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1" fillId="0" borderId="0" xfId="2" applyFont="1"/>
    <xf numFmtId="164" fontId="0" fillId="0" borderId="0" xfId="0" applyNumberFormat="1" applyAlignment="1">
      <alignment horizontal="left"/>
    </xf>
    <xf numFmtId="0" fontId="7" fillId="4" borderId="0" xfId="0" applyFont="1" applyFill="1"/>
    <xf numFmtId="0" fontId="11" fillId="4" borderId="0" xfId="0" applyFont="1" applyFill="1" applyAlignment="1">
      <alignment vertical="center"/>
    </xf>
    <xf numFmtId="0" fontId="8" fillId="4" borderId="0" xfId="0" applyFont="1" applyFill="1"/>
    <xf numFmtId="0" fontId="7" fillId="4" borderId="1" xfId="0" applyFont="1" applyFill="1" applyBorder="1"/>
    <xf numFmtId="0" fontId="12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4" fillId="4" borderId="0" xfId="0" applyFont="1" applyFill="1"/>
    <xf numFmtId="166" fontId="0" fillId="0" borderId="0" xfId="0" applyNumberFormat="1" applyAlignment="1">
      <alignment horizontal="left"/>
    </xf>
    <xf numFmtId="0" fontId="7" fillId="4" borderId="3" xfId="0" applyFont="1" applyFill="1" applyBorder="1"/>
    <xf numFmtId="0" fontId="7" fillId="4" borderId="4" xfId="0" applyFont="1" applyFill="1" applyBorder="1"/>
    <xf numFmtId="0" fontId="7" fillId="4" borderId="5" xfId="0" applyFont="1" applyFill="1" applyBorder="1"/>
    <xf numFmtId="0" fontId="7" fillId="4" borderId="2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  <xf numFmtId="0" fontId="7" fillId="4" borderId="11" xfId="0" applyFont="1" applyFill="1" applyBorder="1"/>
    <xf numFmtId="0" fontId="11" fillId="4" borderId="4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8" fillId="4" borderId="6" xfId="0" applyFont="1" applyFill="1" applyBorder="1"/>
    <xf numFmtId="0" fontId="14" fillId="4" borderId="6" xfId="0" applyFont="1" applyFill="1" applyBorder="1"/>
    <xf numFmtId="0" fontId="11" fillId="4" borderId="3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12" fillId="4" borderId="6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165" fontId="16" fillId="4" borderId="4" xfId="0" applyNumberFormat="1" applyFont="1" applyFill="1" applyBorder="1" applyAlignment="1">
      <alignment horizontal="center" vertical="center"/>
    </xf>
    <xf numFmtId="165" fontId="16" fillId="4" borderId="0" xfId="0" applyNumberFormat="1" applyFont="1" applyFill="1" applyAlignment="1">
      <alignment horizontal="center" vertical="center"/>
    </xf>
    <xf numFmtId="165" fontId="16" fillId="4" borderId="9" xfId="0" applyNumberFormat="1" applyFont="1" applyFill="1" applyBorder="1" applyAlignment="1">
      <alignment horizontal="center" vertical="center"/>
    </xf>
    <xf numFmtId="14" fontId="12" fillId="4" borderId="4" xfId="0" applyNumberFormat="1" applyFont="1" applyFill="1" applyBorder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14" fontId="12" fillId="4" borderId="9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5" fontId="13" fillId="4" borderId="2" xfId="0" applyNumberFormat="1" applyFont="1" applyFill="1" applyBorder="1" applyAlignment="1">
      <alignment horizontal="center" vertical="center"/>
    </xf>
    <xf numFmtId="165" fontId="13" fillId="4" borderId="0" xfId="0" applyNumberFormat="1" applyFont="1" applyFill="1" applyAlignment="1">
      <alignment horizontal="center" vertical="center"/>
    </xf>
    <xf numFmtId="165" fontId="13" fillId="4" borderId="7" xfId="0" applyNumberFormat="1" applyFont="1" applyFill="1" applyBorder="1" applyAlignment="1">
      <alignment horizontal="center" vertical="center"/>
    </xf>
    <xf numFmtId="165" fontId="13" fillId="4" borderId="9" xfId="0" applyNumberFormat="1" applyFont="1" applyFill="1" applyBorder="1" applyAlignment="1">
      <alignment horizontal="center" vertical="center"/>
    </xf>
    <xf numFmtId="165" fontId="13" fillId="4" borderId="11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44" fontId="15" fillId="4" borderId="0" xfId="0" applyNumberFormat="1" applyFont="1" applyFill="1" applyAlignment="1">
      <alignment horizontal="center" vertical="center"/>
    </xf>
    <xf numFmtId="10" fontId="12" fillId="4" borderId="0" xfId="0" applyNumberFormat="1" applyFont="1" applyFill="1" applyAlignment="1">
      <alignment horizontal="center" vertical="center"/>
    </xf>
    <xf numFmtId="10" fontId="14" fillId="4" borderId="0" xfId="0" applyNumberFormat="1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10" fontId="16" fillId="4" borderId="4" xfId="0" applyNumberFormat="1" applyFont="1" applyFill="1" applyBorder="1" applyAlignment="1">
      <alignment horizontal="center" vertical="center"/>
    </xf>
    <xf numFmtId="10" fontId="16" fillId="4" borderId="0" xfId="0" applyNumberFormat="1" applyFont="1" applyFill="1" applyAlignment="1">
      <alignment horizontal="center" vertical="center"/>
    </xf>
    <xf numFmtId="10" fontId="16" fillId="4" borderId="9" xfId="0" applyNumberFormat="1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165" fontId="13" fillId="4" borderId="6" xfId="0" applyNumberFormat="1" applyFont="1" applyFill="1" applyBorder="1" applyAlignment="1">
      <alignment horizontal="center" vertical="center"/>
    </xf>
    <xf numFmtId="165" fontId="13" fillId="4" borderId="8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4" fontId="16" fillId="4" borderId="0" xfId="0" applyNumberFormat="1" applyFont="1" applyFill="1" applyAlignment="1">
      <alignment horizontal="center" vertical="center"/>
    </xf>
    <xf numFmtId="44" fontId="16" fillId="4" borderId="7" xfId="0" applyNumberFormat="1" applyFont="1" applyFill="1" applyBorder="1" applyAlignment="1">
      <alignment horizontal="center" vertical="center"/>
    </xf>
    <xf numFmtId="44" fontId="16" fillId="4" borderId="6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44" fontId="7" fillId="3" borderId="0" xfId="1" applyFont="1" applyFill="1" applyAlignment="1">
      <alignment horizontal="center" vertical="center"/>
    </xf>
    <xf numFmtId="44" fontId="7" fillId="2" borderId="0" xfId="1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NumberFormat="1"/>
    <xf numFmtId="0" fontId="17" fillId="0" borderId="0" xfId="6"/>
    <xf numFmtId="22" fontId="17" fillId="0" borderId="0" xfId="6" applyNumberFormat="1"/>
    <xf numFmtId="1" fontId="17" fillId="0" borderId="0" xfId="6" applyNumberFormat="1"/>
    <xf numFmtId="22" fontId="17" fillId="0" borderId="0" xfId="6" applyNumberFormat="1" applyProtection="1">
      <protection locked="0"/>
    </xf>
    <xf numFmtId="8" fontId="3" fillId="0" borderId="0" xfId="2" applyNumberFormat="1" applyFill="1"/>
    <xf numFmtId="22" fontId="3" fillId="0" borderId="0" xfId="2" applyNumberFormat="1" applyFill="1"/>
    <xf numFmtId="0" fontId="3" fillId="0" borderId="0" xfId="2" applyFill="1"/>
    <xf numFmtId="0" fontId="18" fillId="0" borderId="0" xfId="9"/>
    <xf numFmtId="22" fontId="18" fillId="0" borderId="0" xfId="9" applyNumberFormat="1"/>
    <xf numFmtId="174" fontId="18" fillId="0" borderId="0" xfId="9" applyNumberFormat="1"/>
  </cellXfs>
  <cellStyles count="12">
    <cellStyle name="Moeda" xfId="1" builtinId="4"/>
    <cellStyle name="Moeda 2" xfId="7" xr:uid="{BBDDC0AF-0621-4765-A83B-B2281AA17F16}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9" xr:uid="{39FC442C-2A9C-474B-885D-2082C7FBE408}"/>
    <cellStyle name="Normal 2 3" xfId="8" xr:uid="{1B352544-5375-464A-B83D-FA17D3D37AD3}"/>
    <cellStyle name="Normal 3" xfId="6" xr:uid="{0B07AFC1-3A8E-499F-A1F8-2CC22CBC55F7}"/>
    <cellStyle name="Porcentagem 2" xfId="5" xr:uid="{00000000-0005-0000-0000-000004000000}"/>
    <cellStyle name="Porcentagem 2 2" xfId="10" xr:uid="{A536E606-7811-47B1-9CA5-3CC54B4DAEC9}"/>
    <cellStyle name="Vírgula 2" xfId="4" xr:uid="{00000000-0005-0000-0000-000005000000}"/>
    <cellStyle name="Vírgula 2 2" xfId="11" xr:uid="{50FB5515-6B80-4616-A861-3DCB4381473A}"/>
  </cellStyles>
  <dxfs count="6">
    <dxf>
      <numFmt numFmtId="166" formatCode="h&quot;h&quot;"/>
    </dxf>
    <dxf>
      <numFmt numFmtId="166" formatCode="h&quot;h&quot;"/>
    </dxf>
    <dxf>
      <numFmt numFmtId="27" formatCode="dd/mm/yyyy\ hh:mm"/>
    </dxf>
    <dxf>
      <numFmt numFmtId="12" formatCode="&quot;R$&quot;\ #,##0.00;[Red]\-&quot;R$&quot;\ #,##0.00"/>
    </dxf>
    <dxf>
      <numFmt numFmtId="27" formatCode="dd/mm/yyyy\ hh:mm"/>
    </dxf>
    <dxf>
      <numFmt numFmtId="27" formatCode="dd/mm/yyyy\ hh:mm"/>
      <protection locked="0" hidden="0"/>
    </dxf>
  </dxfs>
  <tableStyles count="0" defaultTableStyle="TableStyleMedium2" defaultPivotStyle="PivotStyleLight16"/>
  <colors>
    <mruColors>
      <color rgb="FF68FEC5"/>
      <color rgb="FF0CD3E8"/>
      <color rgb="FF0000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85123213764947"/>
          <c:y val="0.1137105503321519"/>
          <c:w val="0.3758973097112861"/>
          <c:h val="0.85394443619075922"/>
        </c:manualLayout>
      </c:layout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DC-4CD4-A413-58E118AC76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6-4115-9FC1-7C28DABEE5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A6-4115-9FC1-7C28DABEE53E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DC-4CD4-A413-58E118AC76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A6-4115-9FC1-7C28DABEE53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A6-4115-9FC1-7C28DABEE53E}"/>
              </c:ext>
            </c:extLst>
          </c:dPt>
          <c:dPt>
            <c:idx val="6"/>
            <c:bubble3D val="0"/>
            <c:spPr>
              <a:solidFill>
                <a:srgbClr val="0CD3E8"/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6DC-4CD4-A413-58E118AC76A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BA6-4115-9FC1-7C28DABEE53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BA6-4115-9FC1-7C28DABEE53E}"/>
              </c:ext>
            </c:extLst>
          </c:dPt>
          <c:dPt>
            <c:idx val="9"/>
            <c:bubble3D val="0"/>
            <c:spPr>
              <a:solidFill>
                <a:srgbClr val="68FE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6DC-4CD4-A413-58E118AC76A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BA6-4115-9FC1-7C28DABEE53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BA6-4115-9FC1-7C28DABEE53E}"/>
              </c:ext>
            </c:extLst>
          </c:dPt>
          <c:dPt>
            <c:idx val="1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DC-4CD4-A413-58E118AC76A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BA6-4115-9FC1-7C28DABEE53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BA6-4115-9FC1-7C28DABEE53E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-0.1527777777777777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DC-4CD4-A413-58E118AC76AB}"/>
                </c:ext>
              </c:extLst>
            </c:dLbl>
            <c:dLbl>
              <c:idx val="3"/>
              <c:layout>
                <c:manualLayout>
                  <c:x val="9.166666666666666E-2"/>
                  <c:y val="0.1018518518518516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DC-4CD4-A413-58E118AC76AB}"/>
                </c:ext>
              </c:extLst>
            </c:dLbl>
            <c:dLbl>
              <c:idx val="6"/>
              <c:layout>
                <c:manualLayout>
                  <c:x val="-8.3333333333333329E-2"/>
                  <c:y val="-0.1296296296296296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DC-4CD4-A413-58E118AC76AB}"/>
                </c:ext>
              </c:extLst>
            </c:dLbl>
            <c:dLbl>
              <c:idx val="9"/>
              <c:layout>
                <c:manualLayout>
                  <c:x val="-4.1666666666666768E-2"/>
                  <c:y val="-0.148148148148148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DC-4CD4-A413-58E118AC76AB}"/>
                </c:ext>
              </c:extLst>
            </c:dLbl>
            <c:dLbl>
              <c:idx val="12"/>
              <c:layout>
                <c:manualLayout>
                  <c:x val="0"/>
                  <c:y val="-0.1759259259259259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DC-4CD4-A413-58E118AC7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Dashboard!$B$13:$B$27</c:f>
              <c:strCache>
                <c:ptCount val="13"/>
                <c:pt idx="0">
                  <c:v>Pix</c:v>
                </c:pt>
                <c:pt idx="3">
                  <c:v>Crédito</c:v>
                </c:pt>
                <c:pt idx="6">
                  <c:v>Débito</c:v>
                </c:pt>
                <c:pt idx="9">
                  <c:v>Dinheiro</c:v>
                </c:pt>
                <c:pt idx="12">
                  <c:v>Pg Online</c:v>
                </c:pt>
              </c:strCache>
            </c:strRef>
          </c:cat>
          <c:val>
            <c:numRef>
              <c:f>Dashboard!$F$13:$F$27</c:f>
              <c:numCache>
                <c:formatCode>"R$"\ #,##0.00</c:formatCode>
                <c:ptCount val="15"/>
                <c:pt idx="0">
                  <c:v>36579.210000000006</c:v>
                </c:pt>
                <c:pt idx="3">
                  <c:v>140331.59000000003</c:v>
                </c:pt>
                <c:pt idx="6">
                  <c:v>90564.640000000014</c:v>
                </c:pt>
                <c:pt idx="9">
                  <c:v>10248</c:v>
                </c:pt>
                <c:pt idx="12">
                  <c:v>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C-4CD4-A413-58E118AC76A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CBA6-4115-9FC1-7C28DABEE53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CBA6-4115-9FC1-7C28DABEE53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CBA6-4115-9FC1-7C28DABEE53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CBA6-4115-9FC1-7C28DABEE53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CBA6-4115-9FC1-7C28DABEE53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CBA6-4115-9FC1-7C28DABEE53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CBA6-4115-9FC1-7C28DABEE53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CBA6-4115-9FC1-7C28DABEE53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CBA6-4115-9FC1-7C28DABEE53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CBA6-4115-9FC1-7C28DABEE53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CBA6-4115-9FC1-7C28DABEE53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CBA6-4115-9FC1-7C28DABEE53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CBA6-4115-9FC1-7C28DABEE53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CBA6-4115-9FC1-7C28DABEE53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CBA6-4115-9FC1-7C28DABEE53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Dashboard!$B$13:$B$27</c15:sqref>
                        </c15:formulaRef>
                      </c:ext>
                    </c:extLst>
                    <c:strCache>
                      <c:ptCount val="13"/>
                      <c:pt idx="0">
                        <c:v>Pix</c:v>
                      </c:pt>
                      <c:pt idx="3">
                        <c:v>Crédito</c:v>
                      </c:pt>
                      <c:pt idx="6">
                        <c:v>Débito</c:v>
                      </c:pt>
                      <c:pt idx="9">
                        <c:v>Dinheiro</c:v>
                      </c:pt>
                      <c:pt idx="12">
                        <c:v>Pg Online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Dashboard!$C$13:$C$27</c15:sqref>
                        </c15:formulaRef>
                      </c:ext>
                    </c:extLst>
                    <c:numCache>
                      <c:formatCode>General</c:formatCode>
                      <c:ptCount val="1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6DC-4CD4-A413-58E118AC76AB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CBA6-4115-9FC1-7C28DABEE53E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CBA6-4115-9FC1-7C28DABEE53E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CBA6-4115-9FC1-7C28DABEE53E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CBA6-4115-9FC1-7C28DABEE53E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CBA6-4115-9FC1-7C28DABEE53E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CBA6-4115-9FC1-7C28DABEE53E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CBA6-4115-9FC1-7C28DABEE53E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CBA6-4115-9FC1-7C28DABEE53E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CBA6-4115-9FC1-7C28DABEE53E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CBA6-4115-9FC1-7C28DABEE53E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CBA6-4115-9FC1-7C28DABEE53E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CBA6-4115-9FC1-7C28DABEE53E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CBA6-4115-9FC1-7C28DABEE53E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CBA6-4115-9FC1-7C28DABEE53E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CBA6-4115-9FC1-7C28DABEE53E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tx2">
                            <a:lumMod val="35000"/>
                            <a:lumOff val="65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Dashboard!$B$13:$B$27</c15:sqref>
                        </c15:formulaRef>
                      </c:ext>
                    </c:extLst>
                    <c:strCache>
                      <c:ptCount val="13"/>
                      <c:pt idx="0">
                        <c:v>Pix</c:v>
                      </c:pt>
                      <c:pt idx="3">
                        <c:v>Crédito</c:v>
                      </c:pt>
                      <c:pt idx="6">
                        <c:v>Débito</c:v>
                      </c:pt>
                      <c:pt idx="9">
                        <c:v>Dinheiro</c:v>
                      </c:pt>
                      <c:pt idx="12">
                        <c:v>Pg Online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Dashboard!$G$13:$G$27</c15:sqref>
                        </c15:formulaRef>
                      </c:ext>
                    </c:extLst>
                    <c:numCache>
                      <c:formatCode>"R$"\ #,##0.00</c:formatCode>
                      <c:ptCount val="1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6DC-4CD4-A413-58E118AC76AB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4"/>
        <c:delete val="1"/>
      </c:legendEntry>
      <c:layout>
        <c:manualLayout>
          <c:xMode val="edge"/>
          <c:yMode val="edge"/>
          <c:x val="0.71970758252575717"/>
          <c:y val="9.1221649844991953E-2"/>
          <c:w val="0.22934033519051805"/>
          <c:h val="0.82240804805059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[Planilha_de_automacao_de_fechamento.xlsx]Configuração!Tabela dinâmica5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416571844704381E-2"/>
          <c:y val="7.0758432973656069E-2"/>
          <c:w val="0.73703301786299102"/>
          <c:h val="0.75581478601494856"/>
        </c:manualLayout>
      </c:layout>
      <c:lineChart>
        <c:grouping val="standard"/>
        <c:varyColors val="0"/>
        <c:ser>
          <c:idx val="0"/>
          <c:order val="0"/>
          <c:tx>
            <c:strRef>
              <c:f>Configuração!$B$6</c:f>
              <c:strCache>
                <c:ptCount val="1"/>
                <c:pt idx="0">
                  <c:v>Vendas Sipag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Configuração!$A$7:$A$18</c:f>
              <c:strCache>
                <c:ptCount val="11"/>
                <c:pt idx="0">
                  <c:v>8:00</c:v>
                </c:pt>
                <c:pt idx="1">
                  <c:v>9:00</c:v>
                </c:pt>
                <c:pt idx="2">
                  <c:v>10:00</c:v>
                </c:pt>
                <c:pt idx="3">
                  <c:v>11:00</c:v>
                </c:pt>
                <c:pt idx="4">
                  <c:v>12:00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</c:strCache>
            </c:strRef>
          </c:cat>
          <c:val>
            <c:numRef>
              <c:f>Configuração!$B$7:$B$18</c:f>
              <c:numCache>
                <c:formatCode>General</c:formatCode>
                <c:ptCount val="11"/>
                <c:pt idx="0">
                  <c:v>51</c:v>
                </c:pt>
                <c:pt idx="1">
                  <c:v>49</c:v>
                </c:pt>
                <c:pt idx="2">
                  <c:v>49</c:v>
                </c:pt>
                <c:pt idx="3">
                  <c:v>36</c:v>
                </c:pt>
                <c:pt idx="4">
                  <c:v>62</c:v>
                </c:pt>
                <c:pt idx="5">
                  <c:v>46</c:v>
                </c:pt>
                <c:pt idx="6">
                  <c:v>45</c:v>
                </c:pt>
                <c:pt idx="7">
                  <c:v>59</c:v>
                </c:pt>
                <c:pt idx="8">
                  <c:v>45</c:v>
                </c:pt>
                <c:pt idx="9">
                  <c:v>57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D-43F7-AFC6-CC0237EB2CFD}"/>
            </c:ext>
          </c:extLst>
        </c:ser>
        <c:ser>
          <c:idx val="1"/>
          <c:order val="1"/>
          <c:tx>
            <c:strRef>
              <c:f>Configuração!$C$6</c:f>
              <c:strCache>
                <c:ptCount val="1"/>
                <c:pt idx="0">
                  <c:v>Vendas 7Pay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Configuração!$A$7:$A$18</c:f>
              <c:strCache>
                <c:ptCount val="11"/>
                <c:pt idx="0">
                  <c:v>8:00</c:v>
                </c:pt>
                <c:pt idx="1">
                  <c:v>9:00</c:v>
                </c:pt>
                <c:pt idx="2">
                  <c:v>10:00</c:v>
                </c:pt>
                <c:pt idx="3">
                  <c:v>11:00</c:v>
                </c:pt>
                <c:pt idx="4">
                  <c:v>12:00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</c:strCache>
            </c:strRef>
          </c:cat>
          <c:val>
            <c:numRef>
              <c:f>Configuração!$C$7:$C$18</c:f>
              <c:numCache>
                <c:formatCode>General</c:formatCode>
                <c:ptCount val="11"/>
                <c:pt idx="0">
                  <c:v>42</c:v>
                </c:pt>
                <c:pt idx="1">
                  <c:v>60</c:v>
                </c:pt>
                <c:pt idx="2">
                  <c:v>46</c:v>
                </c:pt>
                <c:pt idx="3">
                  <c:v>44</c:v>
                </c:pt>
                <c:pt idx="4">
                  <c:v>65</c:v>
                </c:pt>
                <c:pt idx="5">
                  <c:v>46</c:v>
                </c:pt>
                <c:pt idx="6">
                  <c:v>43</c:v>
                </c:pt>
                <c:pt idx="7">
                  <c:v>48</c:v>
                </c:pt>
                <c:pt idx="8">
                  <c:v>45</c:v>
                </c:pt>
                <c:pt idx="9">
                  <c:v>45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D-43F7-AFC6-CC0237EB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016424"/>
        <c:axId val="223281720"/>
      </c:lineChart>
      <c:catAx>
        <c:axId val="655016424"/>
        <c:scaling>
          <c:orientation val="minMax"/>
        </c:scaling>
        <c:delete val="0"/>
        <c:axPos val="b"/>
        <c:numFmt formatCode="[$-409]h:mm\ AM/P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pt-BR"/>
          </a:p>
        </c:txPr>
        <c:crossAx val="223281720"/>
        <c:crosses val="autoZero"/>
        <c:auto val="1"/>
        <c:lblAlgn val="ctr"/>
        <c:lblOffset val="100"/>
        <c:noMultiLvlLbl val="0"/>
      </c:catAx>
      <c:valAx>
        <c:axId val="223281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pt-BR"/>
          </a:p>
        </c:txPr>
        <c:crossAx val="65501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58588904293371"/>
          <c:y val="0.22767621625341194"/>
          <c:w val="0.19310248507694977"/>
          <c:h val="0.40734248796387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 i="0" baseline="0">
          <a:solidFill>
            <a:schemeClr val="bg1"/>
          </a:solidFill>
          <a:latin typeface="Cambria" panose="020405030504060302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97-4DBB-A55E-2209F0BB0A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7-4DBB-A55E-2209F0BB0A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97-4DBB-A55E-2209F0BB0AA3}"/>
              </c:ext>
            </c:extLst>
          </c:dPt>
          <c:cat>
            <c:strRef>
              <c:f>'Fechamento Sipag'!$A$2:$A$4</c:f>
              <c:strCache>
                <c:ptCount val="3"/>
                <c:pt idx="0">
                  <c:v>CRÉDITO:</c:v>
                </c:pt>
                <c:pt idx="1">
                  <c:v>DÉBITO:</c:v>
                </c:pt>
                <c:pt idx="2">
                  <c:v>PIX:</c:v>
                </c:pt>
              </c:strCache>
            </c:strRef>
          </c:cat>
          <c:val>
            <c:numRef>
              <c:f>'Fechamento Sipag'!$C$2:$C$4</c:f>
              <c:numCache>
                <c:formatCode>_("R$"* #,##0.00_);_("R$"* \(#,##0.00\);_("R$"* "-"??_);_(@_)</c:formatCode>
                <c:ptCount val="3"/>
                <c:pt idx="0">
                  <c:v>74496.14999999998</c:v>
                </c:pt>
                <c:pt idx="1">
                  <c:v>42402.670000000013</c:v>
                </c:pt>
                <c:pt idx="2">
                  <c:v>25241.880000000005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97-4DBB-A55E-2209F0BB0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2574448"/>
        <c:axId val="19725725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4F97-4DBB-A55E-2209F0BB0AA3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4F97-4DBB-A55E-2209F0BB0AA3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4F97-4DBB-A55E-2209F0BB0AA3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'Fechamento Sipag'!$A$2:$A$4</c15:sqref>
                        </c15:formulaRef>
                      </c:ext>
                    </c:extLst>
                    <c:strCache>
                      <c:ptCount val="3"/>
                      <c:pt idx="0">
                        <c:v>CRÉDITO:</c:v>
                      </c:pt>
                      <c:pt idx="1">
                        <c:v>DÉBITO:</c:v>
                      </c:pt>
                      <c:pt idx="2">
                        <c:v>PIX: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'Fechamento Sipag'!$B$2:$B$4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4F97-4DBB-A55E-2209F0BB0AA3}"/>
                  </c:ext>
                </c:extLst>
              </c15:ser>
            </c15:filteredBarSeries>
          </c:ext>
        </c:extLst>
      </c:barChart>
      <c:valAx>
        <c:axId val="1972572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972574448"/>
        <c:crosses val="autoZero"/>
        <c:crossBetween val="between"/>
      </c:valAx>
      <c:catAx>
        <c:axId val="1972574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572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1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9-482A-95B9-F8924FBA60F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9-482A-95B9-F8924FBA60F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9-482A-95B9-F8924FBA60F2}"/>
              </c:ext>
            </c:extLst>
          </c:dPt>
          <c:cat>
            <c:strRef>
              <c:f>'Fechamento 7Pay'!$A$2:$A$4</c:f>
              <c:strCache>
                <c:ptCount val="3"/>
                <c:pt idx="0">
                  <c:v>CRÉDITO:</c:v>
                </c:pt>
                <c:pt idx="1">
                  <c:v>DÉBITO:</c:v>
                </c:pt>
                <c:pt idx="2">
                  <c:v>PIX:</c:v>
                </c:pt>
              </c:strCache>
            </c:strRef>
          </c:cat>
          <c:val>
            <c:numRef>
              <c:f>'Fechamento 7Pay'!$C$2:$C$4</c:f>
              <c:numCache>
                <c:formatCode>_("R$"* #,##0.00_);_("R$"* \(#,##0.00\);_("R$"* "-"??_);_(@_)</c:formatCode>
                <c:ptCount val="3"/>
                <c:pt idx="0">
                  <c:v>65835.440000000046</c:v>
                </c:pt>
                <c:pt idx="1">
                  <c:v>48161.970000000008</c:v>
                </c:pt>
                <c:pt idx="2">
                  <c:v>11337.330000000002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89-482A-95B9-F8924FBA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36069168"/>
        <c:axId val="20360706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'Fechamento 7Pay'!$A$2:$A$4</c15:sqref>
                        </c15:formulaRef>
                      </c:ext>
                    </c:extLst>
                    <c:strCache>
                      <c:ptCount val="3"/>
                      <c:pt idx="0">
                        <c:v>CRÉDITO:</c:v>
                      </c:pt>
                      <c:pt idx="1">
                        <c:v>DÉBITO:</c:v>
                      </c:pt>
                      <c:pt idx="2">
                        <c:v>PIX: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'Fechamento 7Pay'!$D$2:$D$4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089-482A-95B9-F8924FBA60F2}"/>
                  </c:ext>
                </c:extLst>
              </c15:ser>
            </c15:filteredBarSeries>
          </c:ext>
        </c:extLst>
      </c:barChart>
      <c:valAx>
        <c:axId val="20360706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2036069168"/>
        <c:crosses val="autoZero"/>
        <c:crossBetween val="between"/>
      </c:valAx>
      <c:catAx>
        <c:axId val="2036069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6070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shade val="1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26738</xdr:colOff>
      <xdr:row>8</xdr:row>
      <xdr:rowOff>162213</xdr:rowOff>
    </xdr:from>
    <xdr:to>
      <xdr:col>16</xdr:col>
      <xdr:colOff>1437410</xdr:colOff>
      <xdr:row>22</xdr:row>
      <xdr:rowOff>69273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183646</xdr:colOff>
      <xdr:row>23</xdr:row>
      <xdr:rowOff>34637</xdr:rowOff>
    </xdr:from>
    <xdr:to>
      <xdr:col>16</xdr:col>
      <xdr:colOff>1575956</xdr:colOff>
      <xdr:row>40</xdr:row>
      <xdr:rowOff>69273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306737</xdr:colOff>
      <xdr:row>11</xdr:row>
      <xdr:rowOff>181429</xdr:rowOff>
    </xdr:from>
    <xdr:to>
      <xdr:col>35</xdr:col>
      <xdr:colOff>116973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65473E-A071-4E27-BE42-8F4B42A32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322167</xdr:colOff>
      <xdr:row>27</xdr:row>
      <xdr:rowOff>182095</xdr:rowOff>
    </xdr:from>
    <xdr:to>
      <xdr:col>35</xdr:col>
      <xdr:colOff>100263</xdr:colOff>
      <xdr:row>39</xdr:row>
      <xdr:rowOff>182095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781686-D14F-43F2-AE0C-6DDAD8CB6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708422685188" backgroundQuery="1" missingItemsLimit="0" createdVersion="6" refreshedVersion="8" minRefreshableVersion="3" recordCount="984" xr:uid="{00000000-000A-0000-FFFF-FFFF07000000}">
  <cacheSource type="external" connectionId="1"/>
  <cacheFields count="3">
    <cacheField name="DATA DA VENDA" numFmtId="0">
      <sharedItems containsSemiMixedTypes="0" containsNonDate="0" containsDate="1" containsString="0" minDate="2026-07-09T08:00:00" maxDate="2026-07-09T18:00:00" count="11">
        <d v="2026-07-09T08:00:00"/>
        <d v="2026-07-09T09:00:00"/>
        <d v="2026-07-09T10:00:00"/>
        <d v="2026-07-09T11:00:00"/>
        <d v="2026-07-09T12:00:00"/>
        <d v="2026-07-09T13:00:00"/>
        <d v="2026-07-09T14:00:00"/>
        <d v="2026-07-09T15:00:00"/>
        <d v="2026-07-09T16:00:00"/>
        <d v="2026-07-09T17:00:00"/>
        <d v="2026-07-09T18:00:00"/>
      </sharedItems>
    </cacheField>
    <cacheField name="Sipag" numFmtId="0">
      <sharedItems containsBlank="1" count="4">
        <s v="Pix"/>
        <m/>
        <s v="Crédito"/>
        <s v="Débito"/>
      </sharedItems>
    </cacheField>
    <cacheField name="7Pay" numFmtId="0">
      <sharedItems containsBlank="1" count="4">
        <m/>
        <s v="Débito"/>
        <s v="Crédito"/>
        <s v="Pi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x v="0"/>
    <x v="0"/>
    <x v="0"/>
  </r>
  <r>
    <x v="0"/>
    <x v="1"/>
    <x v="1"/>
  </r>
  <r>
    <x v="0"/>
    <x v="1"/>
    <x v="1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2"/>
  </r>
  <r>
    <x v="0"/>
    <x v="1"/>
    <x v="1"/>
  </r>
  <r>
    <x v="0"/>
    <x v="1"/>
    <x v="1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1"/>
  </r>
  <r>
    <x v="0"/>
    <x v="1"/>
    <x v="1"/>
  </r>
  <r>
    <x v="0"/>
    <x v="1"/>
    <x v="2"/>
  </r>
  <r>
    <x v="0"/>
    <x v="1"/>
    <x v="2"/>
  </r>
  <r>
    <x v="0"/>
    <x v="2"/>
    <x v="0"/>
  </r>
  <r>
    <x v="0"/>
    <x v="2"/>
    <x v="0"/>
  </r>
  <r>
    <x v="0"/>
    <x v="1"/>
    <x v="1"/>
  </r>
  <r>
    <x v="0"/>
    <x v="1"/>
    <x v="2"/>
  </r>
  <r>
    <x v="0"/>
    <x v="1"/>
    <x v="2"/>
  </r>
  <r>
    <x v="0"/>
    <x v="1"/>
    <x v="1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2"/>
  </r>
  <r>
    <x v="0"/>
    <x v="1"/>
    <x v="2"/>
  </r>
  <r>
    <x v="0"/>
    <x v="1"/>
    <x v="1"/>
  </r>
  <r>
    <x v="0"/>
    <x v="1"/>
    <x v="1"/>
  </r>
  <r>
    <x v="0"/>
    <x v="1"/>
    <x v="1"/>
  </r>
  <r>
    <x v="0"/>
    <x v="2"/>
    <x v="0"/>
  </r>
  <r>
    <x v="0"/>
    <x v="1"/>
    <x v="2"/>
  </r>
  <r>
    <x v="0"/>
    <x v="1"/>
    <x v="2"/>
  </r>
  <r>
    <x v="0"/>
    <x v="1"/>
    <x v="2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2"/>
  </r>
  <r>
    <x v="0"/>
    <x v="1"/>
    <x v="1"/>
  </r>
  <r>
    <x v="0"/>
    <x v="1"/>
    <x v="3"/>
  </r>
  <r>
    <x v="0"/>
    <x v="2"/>
    <x v="0"/>
  </r>
  <r>
    <x v="0"/>
    <x v="1"/>
    <x v="2"/>
  </r>
  <r>
    <x v="0"/>
    <x v="2"/>
    <x v="0"/>
  </r>
  <r>
    <x v="0"/>
    <x v="2"/>
    <x v="0"/>
  </r>
  <r>
    <x v="0"/>
    <x v="2"/>
    <x v="0"/>
  </r>
  <r>
    <x v="0"/>
    <x v="3"/>
    <x v="0"/>
  </r>
  <r>
    <x v="0"/>
    <x v="2"/>
    <x v="0"/>
  </r>
  <r>
    <x v="0"/>
    <x v="0"/>
    <x v="0"/>
  </r>
  <r>
    <x v="0"/>
    <x v="2"/>
    <x v="0"/>
  </r>
  <r>
    <x v="0"/>
    <x v="0"/>
    <x v="0"/>
  </r>
  <r>
    <x v="0"/>
    <x v="3"/>
    <x v="0"/>
  </r>
  <r>
    <x v="0"/>
    <x v="0"/>
    <x v="0"/>
  </r>
  <r>
    <x v="0"/>
    <x v="2"/>
    <x v="0"/>
  </r>
  <r>
    <x v="0"/>
    <x v="3"/>
    <x v="0"/>
  </r>
  <r>
    <x v="0"/>
    <x v="3"/>
    <x v="0"/>
  </r>
  <r>
    <x v="0"/>
    <x v="2"/>
    <x v="0"/>
  </r>
  <r>
    <x v="0"/>
    <x v="3"/>
    <x v="0"/>
  </r>
  <r>
    <x v="0"/>
    <x v="2"/>
    <x v="0"/>
  </r>
  <r>
    <x v="0"/>
    <x v="3"/>
    <x v="0"/>
  </r>
  <r>
    <x v="0"/>
    <x v="0"/>
    <x v="0"/>
  </r>
  <r>
    <x v="0"/>
    <x v="3"/>
    <x v="0"/>
  </r>
  <r>
    <x v="0"/>
    <x v="0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3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3"/>
    <x v="0"/>
  </r>
  <r>
    <x v="0"/>
    <x v="2"/>
    <x v="0"/>
  </r>
  <r>
    <x v="0"/>
    <x v="2"/>
    <x v="0"/>
  </r>
  <r>
    <x v="0"/>
    <x v="3"/>
    <x v="0"/>
  </r>
  <r>
    <x v="0"/>
    <x v="3"/>
    <x v="0"/>
  </r>
  <r>
    <x v="0"/>
    <x v="3"/>
    <x v="0"/>
  </r>
  <r>
    <x v="0"/>
    <x v="2"/>
    <x v="0"/>
  </r>
  <r>
    <x v="0"/>
    <x v="3"/>
    <x v="0"/>
  </r>
  <r>
    <x v="0"/>
    <x v="0"/>
    <x v="0"/>
  </r>
  <r>
    <x v="0"/>
    <x v="3"/>
    <x v="0"/>
  </r>
  <r>
    <x v="0"/>
    <x v="2"/>
    <x v="0"/>
  </r>
  <r>
    <x v="0"/>
    <x v="3"/>
    <x v="0"/>
  </r>
  <r>
    <x v="0"/>
    <x v="2"/>
    <x v="0"/>
  </r>
  <r>
    <x v="0"/>
    <x v="3"/>
    <x v="0"/>
  </r>
  <r>
    <x v="0"/>
    <x v="2"/>
    <x v="0"/>
  </r>
  <r>
    <x v="0"/>
    <x v="2"/>
    <x v="0"/>
  </r>
  <r>
    <x v="0"/>
    <x v="2"/>
    <x v="0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3"/>
  </r>
  <r>
    <x v="1"/>
    <x v="1"/>
    <x v="2"/>
  </r>
  <r>
    <x v="1"/>
    <x v="1"/>
    <x v="2"/>
  </r>
  <r>
    <x v="1"/>
    <x v="1"/>
    <x v="2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3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3"/>
  </r>
  <r>
    <x v="1"/>
    <x v="1"/>
    <x v="1"/>
  </r>
  <r>
    <x v="1"/>
    <x v="1"/>
    <x v="2"/>
  </r>
  <r>
    <x v="1"/>
    <x v="1"/>
    <x v="1"/>
  </r>
  <r>
    <x v="1"/>
    <x v="1"/>
    <x v="1"/>
  </r>
  <r>
    <x v="1"/>
    <x v="1"/>
    <x v="2"/>
  </r>
  <r>
    <x v="1"/>
    <x v="1"/>
    <x v="2"/>
  </r>
  <r>
    <x v="1"/>
    <x v="1"/>
    <x v="3"/>
  </r>
  <r>
    <x v="1"/>
    <x v="1"/>
    <x v="2"/>
  </r>
  <r>
    <x v="1"/>
    <x v="2"/>
    <x v="0"/>
  </r>
  <r>
    <x v="1"/>
    <x v="1"/>
    <x v="2"/>
  </r>
  <r>
    <x v="1"/>
    <x v="2"/>
    <x v="0"/>
  </r>
  <r>
    <x v="1"/>
    <x v="3"/>
    <x v="0"/>
  </r>
  <r>
    <x v="1"/>
    <x v="2"/>
    <x v="0"/>
  </r>
  <r>
    <x v="1"/>
    <x v="3"/>
    <x v="0"/>
  </r>
  <r>
    <x v="1"/>
    <x v="3"/>
    <x v="0"/>
  </r>
  <r>
    <x v="1"/>
    <x v="0"/>
    <x v="0"/>
  </r>
  <r>
    <x v="1"/>
    <x v="2"/>
    <x v="0"/>
  </r>
  <r>
    <x v="1"/>
    <x v="3"/>
    <x v="0"/>
  </r>
  <r>
    <x v="1"/>
    <x v="3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2"/>
    <x v="0"/>
  </r>
  <r>
    <x v="1"/>
    <x v="3"/>
    <x v="0"/>
  </r>
  <r>
    <x v="1"/>
    <x v="0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0"/>
    <x v="0"/>
  </r>
  <r>
    <x v="1"/>
    <x v="3"/>
    <x v="0"/>
  </r>
  <r>
    <x v="1"/>
    <x v="3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3"/>
    <x v="0"/>
  </r>
  <r>
    <x v="1"/>
    <x v="2"/>
    <x v="0"/>
  </r>
  <r>
    <x v="1"/>
    <x v="2"/>
    <x v="0"/>
  </r>
  <r>
    <x v="1"/>
    <x v="3"/>
    <x v="0"/>
  </r>
  <r>
    <x v="1"/>
    <x v="2"/>
    <x v="0"/>
  </r>
  <r>
    <x v="1"/>
    <x v="3"/>
    <x v="0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3"/>
  </r>
  <r>
    <x v="1"/>
    <x v="1"/>
    <x v="2"/>
  </r>
  <r>
    <x v="1"/>
    <x v="1"/>
    <x v="2"/>
  </r>
  <r>
    <x v="1"/>
    <x v="1"/>
    <x v="1"/>
  </r>
  <r>
    <x v="1"/>
    <x v="1"/>
    <x v="2"/>
  </r>
  <r>
    <x v="1"/>
    <x v="1"/>
    <x v="2"/>
  </r>
  <r>
    <x v="1"/>
    <x v="1"/>
    <x v="2"/>
  </r>
  <r>
    <x v="1"/>
    <x v="1"/>
    <x v="1"/>
  </r>
  <r>
    <x v="1"/>
    <x v="2"/>
    <x v="0"/>
  </r>
  <r>
    <x v="1"/>
    <x v="1"/>
    <x v="1"/>
  </r>
  <r>
    <x v="1"/>
    <x v="1"/>
    <x v="3"/>
  </r>
  <r>
    <x v="1"/>
    <x v="1"/>
    <x v="2"/>
  </r>
  <r>
    <x v="1"/>
    <x v="1"/>
    <x v="1"/>
  </r>
  <r>
    <x v="1"/>
    <x v="1"/>
    <x v="2"/>
  </r>
  <r>
    <x v="1"/>
    <x v="2"/>
    <x v="0"/>
  </r>
  <r>
    <x v="1"/>
    <x v="0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1"/>
    <x v="2"/>
  </r>
  <r>
    <x v="2"/>
    <x v="1"/>
    <x v="2"/>
  </r>
  <r>
    <x v="2"/>
    <x v="1"/>
    <x v="1"/>
  </r>
  <r>
    <x v="2"/>
    <x v="1"/>
    <x v="2"/>
  </r>
  <r>
    <x v="2"/>
    <x v="1"/>
    <x v="2"/>
  </r>
  <r>
    <x v="2"/>
    <x v="1"/>
    <x v="2"/>
  </r>
  <r>
    <x v="2"/>
    <x v="1"/>
    <x v="1"/>
  </r>
  <r>
    <x v="2"/>
    <x v="1"/>
    <x v="1"/>
  </r>
  <r>
    <x v="2"/>
    <x v="1"/>
    <x v="3"/>
  </r>
  <r>
    <x v="2"/>
    <x v="1"/>
    <x v="3"/>
  </r>
  <r>
    <x v="2"/>
    <x v="1"/>
    <x v="2"/>
  </r>
  <r>
    <x v="2"/>
    <x v="1"/>
    <x v="1"/>
  </r>
  <r>
    <x v="2"/>
    <x v="1"/>
    <x v="2"/>
  </r>
  <r>
    <x v="2"/>
    <x v="1"/>
    <x v="3"/>
  </r>
  <r>
    <x v="2"/>
    <x v="1"/>
    <x v="1"/>
  </r>
  <r>
    <x v="2"/>
    <x v="1"/>
    <x v="3"/>
  </r>
  <r>
    <x v="2"/>
    <x v="1"/>
    <x v="2"/>
  </r>
  <r>
    <x v="2"/>
    <x v="1"/>
    <x v="1"/>
  </r>
  <r>
    <x v="2"/>
    <x v="1"/>
    <x v="2"/>
  </r>
  <r>
    <x v="2"/>
    <x v="1"/>
    <x v="1"/>
  </r>
  <r>
    <x v="2"/>
    <x v="1"/>
    <x v="1"/>
  </r>
  <r>
    <x v="2"/>
    <x v="1"/>
    <x v="2"/>
  </r>
  <r>
    <x v="2"/>
    <x v="1"/>
    <x v="1"/>
  </r>
  <r>
    <x v="2"/>
    <x v="1"/>
    <x v="2"/>
  </r>
  <r>
    <x v="2"/>
    <x v="1"/>
    <x v="2"/>
  </r>
  <r>
    <x v="2"/>
    <x v="1"/>
    <x v="3"/>
  </r>
  <r>
    <x v="2"/>
    <x v="1"/>
    <x v="1"/>
  </r>
  <r>
    <x v="2"/>
    <x v="1"/>
    <x v="2"/>
  </r>
  <r>
    <x v="2"/>
    <x v="1"/>
    <x v="2"/>
  </r>
  <r>
    <x v="2"/>
    <x v="1"/>
    <x v="2"/>
  </r>
  <r>
    <x v="2"/>
    <x v="1"/>
    <x v="1"/>
  </r>
  <r>
    <x v="2"/>
    <x v="1"/>
    <x v="1"/>
  </r>
  <r>
    <x v="2"/>
    <x v="1"/>
    <x v="2"/>
  </r>
  <r>
    <x v="2"/>
    <x v="1"/>
    <x v="3"/>
  </r>
  <r>
    <x v="2"/>
    <x v="1"/>
    <x v="3"/>
  </r>
  <r>
    <x v="2"/>
    <x v="1"/>
    <x v="2"/>
  </r>
  <r>
    <x v="2"/>
    <x v="1"/>
    <x v="2"/>
  </r>
  <r>
    <x v="2"/>
    <x v="1"/>
    <x v="1"/>
  </r>
  <r>
    <x v="2"/>
    <x v="1"/>
    <x v="2"/>
  </r>
  <r>
    <x v="2"/>
    <x v="1"/>
    <x v="2"/>
  </r>
  <r>
    <x v="2"/>
    <x v="1"/>
    <x v="2"/>
  </r>
  <r>
    <x v="2"/>
    <x v="1"/>
    <x v="1"/>
  </r>
  <r>
    <x v="2"/>
    <x v="1"/>
    <x v="2"/>
  </r>
  <r>
    <x v="2"/>
    <x v="1"/>
    <x v="2"/>
  </r>
  <r>
    <x v="2"/>
    <x v="1"/>
    <x v="2"/>
  </r>
  <r>
    <x v="2"/>
    <x v="1"/>
    <x v="2"/>
  </r>
  <r>
    <x v="2"/>
    <x v="1"/>
    <x v="1"/>
  </r>
  <r>
    <x v="2"/>
    <x v="2"/>
    <x v="0"/>
  </r>
  <r>
    <x v="2"/>
    <x v="3"/>
    <x v="0"/>
  </r>
  <r>
    <x v="2"/>
    <x v="0"/>
    <x v="0"/>
  </r>
  <r>
    <x v="2"/>
    <x v="3"/>
    <x v="0"/>
  </r>
  <r>
    <x v="2"/>
    <x v="2"/>
    <x v="0"/>
  </r>
  <r>
    <x v="2"/>
    <x v="3"/>
    <x v="0"/>
  </r>
  <r>
    <x v="2"/>
    <x v="0"/>
    <x v="0"/>
  </r>
  <r>
    <x v="2"/>
    <x v="0"/>
    <x v="0"/>
  </r>
  <r>
    <x v="2"/>
    <x v="3"/>
    <x v="0"/>
  </r>
  <r>
    <x v="2"/>
    <x v="2"/>
    <x v="0"/>
  </r>
  <r>
    <x v="2"/>
    <x v="0"/>
    <x v="0"/>
  </r>
  <r>
    <x v="2"/>
    <x v="2"/>
    <x v="0"/>
  </r>
  <r>
    <x v="2"/>
    <x v="3"/>
    <x v="0"/>
  </r>
  <r>
    <x v="2"/>
    <x v="3"/>
    <x v="0"/>
  </r>
  <r>
    <x v="2"/>
    <x v="2"/>
    <x v="0"/>
  </r>
  <r>
    <x v="2"/>
    <x v="2"/>
    <x v="0"/>
  </r>
  <r>
    <x v="2"/>
    <x v="2"/>
    <x v="0"/>
  </r>
  <r>
    <x v="2"/>
    <x v="3"/>
    <x v="0"/>
  </r>
  <r>
    <x v="2"/>
    <x v="3"/>
    <x v="0"/>
  </r>
  <r>
    <x v="2"/>
    <x v="2"/>
    <x v="0"/>
  </r>
  <r>
    <x v="2"/>
    <x v="3"/>
    <x v="0"/>
  </r>
  <r>
    <x v="2"/>
    <x v="2"/>
    <x v="0"/>
  </r>
  <r>
    <x v="2"/>
    <x v="3"/>
    <x v="0"/>
  </r>
  <r>
    <x v="2"/>
    <x v="2"/>
    <x v="0"/>
  </r>
  <r>
    <x v="2"/>
    <x v="3"/>
    <x v="0"/>
  </r>
  <r>
    <x v="2"/>
    <x v="3"/>
    <x v="0"/>
  </r>
  <r>
    <x v="2"/>
    <x v="2"/>
    <x v="0"/>
  </r>
  <r>
    <x v="2"/>
    <x v="2"/>
    <x v="0"/>
  </r>
  <r>
    <x v="2"/>
    <x v="2"/>
    <x v="0"/>
  </r>
  <r>
    <x v="2"/>
    <x v="3"/>
    <x v="0"/>
  </r>
  <r>
    <x v="2"/>
    <x v="2"/>
    <x v="0"/>
  </r>
  <r>
    <x v="2"/>
    <x v="2"/>
    <x v="0"/>
  </r>
  <r>
    <x v="2"/>
    <x v="2"/>
    <x v="0"/>
  </r>
  <r>
    <x v="2"/>
    <x v="3"/>
    <x v="0"/>
  </r>
  <r>
    <x v="2"/>
    <x v="2"/>
    <x v="0"/>
  </r>
  <r>
    <x v="2"/>
    <x v="0"/>
    <x v="0"/>
  </r>
  <r>
    <x v="2"/>
    <x v="2"/>
    <x v="0"/>
  </r>
  <r>
    <x v="2"/>
    <x v="3"/>
    <x v="0"/>
  </r>
  <r>
    <x v="2"/>
    <x v="3"/>
    <x v="0"/>
  </r>
  <r>
    <x v="2"/>
    <x v="2"/>
    <x v="0"/>
  </r>
  <r>
    <x v="2"/>
    <x v="3"/>
    <x v="0"/>
  </r>
  <r>
    <x v="2"/>
    <x v="3"/>
    <x v="0"/>
  </r>
  <r>
    <x v="2"/>
    <x v="2"/>
    <x v="0"/>
  </r>
  <r>
    <x v="2"/>
    <x v="2"/>
    <x v="0"/>
  </r>
  <r>
    <x v="2"/>
    <x v="0"/>
    <x v="0"/>
  </r>
  <r>
    <x v="2"/>
    <x v="2"/>
    <x v="0"/>
  </r>
  <r>
    <x v="2"/>
    <x v="3"/>
    <x v="0"/>
  </r>
  <r>
    <x v="2"/>
    <x v="0"/>
    <x v="0"/>
  </r>
  <r>
    <x v="2"/>
    <x v="3"/>
    <x v="0"/>
  </r>
  <r>
    <x v="3"/>
    <x v="1"/>
    <x v="3"/>
  </r>
  <r>
    <x v="3"/>
    <x v="1"/>
    <x v="3"/>
  </r>
  <r>
    <x v="3"/>
    <x v="1"/>
    <x v="2"/>
  </r>
  <r>
    <x v="3"/>
    <x v="1"/>
    <x v="1"/>
  </r>
  <r>
    <x v="3"/>
    <x v="1"/>
    <x v="2"/>
  </r>
  <r>
    <x v="3"/>
    <x v="1"/>
    <x v="1"/>
  </r>
  <r>
    <x v="3"/>
    <x v="1"/>
    <x v="2"/>
  </r>
  <r>
    <x v="3"/>
    <x v="1"/>
    <x v="1"/>
  </r>
  <r>
    <x v="3"/>
    <x v="1"/>
    <x v="2"/>
  </r>
  <r>
    <x v="3"/>
    <x v="1"/>
    <x v="2"/>
  </r>
  <r>
    <x v="3"/>
    <x v="1"/>
    <x v="2"/>
  </r>
  <r>
    <x v="3"/>
    <x v="1"/>
    <x v="2"/>
  </r>
  <r>
    <x v="3"/>
    <x v="1"/>
    <x v="2"/>
  </r>
  <r>
    <x v="3"/>
    <x v="1"/>
    <x v="2"/>
  </r>
  <r>
    <x v="3"/>
    <x v="1"/>
    <x v="2"/>
  </r>
  <r>
    <x v="3"/>
    <x v="1"/>
    <x v="2"/>
  </r>
  <r>
    <x v="3"/>
    <x v="1"/>
    <x v="1"/>
  </r>
  <r>
    <x v="3"/>
    <x v="1"/>
    <x v="2"/>
  </r>
  <r>
    <x v="3"/>
    <x v="1"/>
    <x v="2"/>
  </r>
  <r>
    <x v="3"/>
    <x v="1"/>
    <x v="1"/>
  </r>
  <r>
    <x v="3"/>
    <x v="1"/>
    <x v="1"/>
  </r>
  <r>
    <x v="3"/>
    <x v="1"/>
    <x v="3"/>
  </r>
  <r>
    <x v="3"/>
    <x v="1"/>
    <x v="2"/>
  </r>
  <r>
    <x v="3"/>
    <x v="1"/>
    <x v="2"/>
  </r>
  <r>
    <x v="3"/>
    <x v="1"/>
    <x v="2"/>
  </r>
  <r>
    <x v="3"/>
    <x v="1"/>
    <x v="2"/>
  </r>
  <r>
    <x v="3"/>
    <x v="1"/>
    <x v="1"/>
  </r>
  <r>
    <x v="3"/>
    <x v="1"/>
    <x v="2"/>
  </r>
  <r>
    <x v="3"/>
    <x v="1"/>
    <x v="3"/>
  </r>
  <r>
    <x v="3"/>
    <x v="1"/>
    <x v="3"/>
  </r>
  <r>
    <x v="3"/>
    <x v="1"/>
    <x v="1"/>
  </r>
  <r>
    <x v="3"/>
    <x v="1"/>
    <x v="3"/>
  </r>
  <r>
    <x v="3"/>
    <x v="1"/>
    <x v="2"/>
  </r>
  <r>
    <x v="3"/>
    <x v="1"/>
    <x v="2"/>
  </r>
  <r>
    <x v="3"/>
    <x v="1"/>
    <x v="2"/>
  </r>
  <r>
    <x v="3"/>
    <x v="1"/>
    <x v="3"/>
  </r>
  <r>
    <x v="3"/>
    <x v="1"/>
    <x v="2"/>
  </r>
  <r>
    <x v="3"/>
    <x v="1"/>
    <x v="1"/>
  </r>
  <r>
    <x v="3"/>
    <x v="1"/>
    <x v="2"/>
  </r>
  <r>
    <x v="3"/>
    <x v="1"/>
    <x v="2"/>
  </r>
  <r>
    <x v="3"/>
    <x v="1"/>
    <x v="2"/>
  </r>
  <r>
    <x v="3"/>
    <x v="1"/>
    <x v="1"/>
  </r>
  <r>
    <x v="3"/>
    <x v="1"/>
    <x v="1"/>
  </r>
  <r>
    <x v="3"/>
    <x v="1"/>
    <x v="2"/>
  </r>
  <r>
    <x v="3"/>
    <x v="2"/>
    <x v="0"/>
  </r>
  <r>
    <x v="3"/>
    <x v="2"/>
    <x v="0"/>
  </r>
  <r>
    <x v="3"/>
    <x v="3"/>
    <x v="0"/>
  </r>
  <r>
    <x v="3"/>
    <x v="3"/>
    <x v="0"/>
  </r>
  <r>
    <x v="3"/>
    <x v="2"/>
    <x v="0"/>
  </r>
  <r>
    <x v="3"/>
    <x v="3"/>
    <x v="0"/>
  </r>
  <r>
    <x v="3"/>
    <x v="0"/>
    <x v="0"/>
  </r>
  <r>
    <x v="3"/>
    <x v="2"/>
    <x v="0"/>
  </r>
  <r>
    <x v="3"/>
    <x v="0"/>
    <x v="0"/>
  </r>
  <r>
    <x v="3"/>
    <x v="2"/>
    <x v="0"/>
  </r>
  <r>
    <x v="3"/>
    <x v="2"/>
    <x v="0"/>
  </r>
  <r>
    <x v="3"/>
    <x v="2"/>
    <x v="0"/>
  </r>
  <r>
    <x v="3"/>
    <x v="3"/>
    <x v="0"/>
  </r>
  <r>
    <x v="3"/>
    <x v="2"/>
    <x v="0"/>
  </r>
  <r>
    <x v="3"/>
    <x v="0"/>
    <x v="0"/>
  </r>
  <r>
    <x v="3"/>
    <x v="3"/>
    <x v="0"/>
  </r>
  <r>
    <x v="3"/>
    <x v="3"/>
    <x v="0"/>
  </r>
  <r>
    <x v="3"/>
    <x v="3"/>
    <x v="0"/>
  </r>
  <r>
    <x v="3"/>
    <x v="0"/>
    <x v="0"/>
  </r>
  <r>
    <x v="3"/>
    <x v="0"/>
    <x v="0"/>
  </r>
  <r>
    <x v="3"/>
    <x v="2"/>
    <x v="0"/>
  </r>
  <r>
    <x v="3"/>
    <x v="2"/>
    <x v="0"/>
  </r>
  <r>
    <x v="3"/>
    <x v="0"/>
    <x v="0"/>
  </r>
  <r>
    <x v="3"/>
    <x v="2"/>
    <x v="0"/>
  </r>
  <r>
    <x v="3"/>
    <x v="3"/>
    <x v="0"/>
  </r>
  <r>
    <x v="3"/>
    <x v="2"/>
    <x v="0"/>
  </r>
  <r>
    <x v="3"/>
    <x v="2"/>
    <x v="0"/>
  </r>
  <r>
    <x v="3"/>
    <x v="0"/>
    <x v="0"/>
  </r>
  <r>
    <x v="3"/>
    <x v="2"/>
    <x v="0"/>
  </r>
  <r>
    <x v="3"/>
    <x v="2"/>
    <x v="0"/>
  </r>
  <r>
    <x v="3"/>
    <x v="0"/>
    <x v="0"/>
  </r>
  <r>
    <x v="3"/>
    <x v="2"/>
    <x v="0"/>
  </r>
  <r>
    <x v="3"/>
    <x v="0"/>
    <x v="0"/>
  </r>
  <r>
    <x v="3"/>
    <x v="3"/>
    <x v="0"/>
  </r>
  <r>
    <x v="3"/>
    <x v="0"/>
    <x v="0"/>
  </r>
  <r>
    <x v="3"/>
    <x v="2"/>
    <x v="0"/>
  </r>
  <r>
    <x v="4"/>
    <x v="2"/>
    <x v="0"/>
  </r>
  <r>
    <x v="4"/>
    <x v="3"/>
    <x v="0"/>
  </r>
  <r>
    <x v="4"/>
    <x v="1"/>
    <x v="2"/>
  </r>
  <r>
    <x v="4"/>
    <x v="3"/>
    <x v="0"/>
  </r>
  <r>
    <x v="4"/>
    <x v="1"/>
    <x v="2"/>
  </r>
  <r>
    <x v="4"/>
    <x v="2"/>
    <x v="0"/>
  </r>
  <r>
    <x v="4"/>
    <x v="2"/>
    <x v="0"/>
  </r>
  <r>
    <x v="4"/>
    <x v="2"/>
    <x v="0"/>
  </r>
  <r>
    <x v="4"/>
    <x v="3"/>
    <x v="0"/>
  </r>
  <r>
    <x v="4"/>
    <x v="2"/>
    <x v="0"/>
  </r>
  <r>
    <x v="4"/>
    <x v="2"/>
    <x v="0"/>
  </r>
  <r>
    <x v="4"/>
    <x v="2"/>
    <x v="0"/>
  </r>
  <r>
    <x v="4"/>
    <x v="2"/>
    <x v="0"/>
  </r>
  <r>
    <x v="4"/>
    <x v="3"/>
    <x v="0"/>
  </r>
  <r>
    <x v="4"/>
    <x v="0"/>
    <x v="0"/>
  </r>
  <r>
    <x v="4"/>
    <x v="3"/>
    <x v="0"/>
  </r>
  <r>
    <x v="4"/>
    <x v="2"/>
    <x v="0"/>
  </r>
  <r>
    <x v="4"/>
    <x v="2"/>
    <x v="0"/>
  </r>
  <r>
    <x v="4"/>
    <x v="0"/>
    <x v="0"/>
  </r>
  <r>
    <x v="4"/>
    <x v="2"/>
    <x v="0"/>
  </r>
  <r>
    <x v="4"/>
    <x v="0"/>
    <x v="0"/>
  </r>
  <r>
    <x v="4"/>
    <x v="3"/>
    <x v="0"/>
  </r>
  <r>
    <x v="4"/>
    <x v="2"/>
    <x v="0"/>
  </r>
  <r>
    <x v="4"/>
    <x v="2"/>
    <x v="0"/>
  </r>
  <r>
    <x v="4"/>
    <x v="2"/>
    <x v="0"/>
  </r>
  <r>
    <x v="4"/>
    <x v="2"/>
    <x v="0"/>
  </r>
  <r>
    <x v="4"/>
    <x v="3"/>
    <x v="0"/>
  </r>
  <r>
    <x v="4"/>
    <x v="3"/>
    <x v="0"/>
  </r>
  <r>
    <x v="4"/>
    <x v="2"/>
    <x v="0"/>
  </r>
  <r>
    <x v="4"/>
    <x v="3"/>
    <x v="0"/>
  </r>
  <r>
    <x v="4"/>
    <x v="2"/>
    <x v="0"/>
  </r>
  <r>
    <x v="4"/>
    <x v="3"/>
    <x v="0"/>
  </r>
  <r>
    <x v="4"/>
    <x v="2"/>
    <x v="0"/>
  </r>
  <r>
    <x v="4"/>
    <x v="2"/>
    <x v="0"/>
  </r>
  <r>
    <x v="4"/>
    <x v="2"/>
    <x v="0"/>
  </r>
  <r>
    <x v="4"/>
    <x v="2"/>
    <x v="0"/>
  </r>
  <r>
    <x v="4"/>
    <x v="2"/>
    <x v="0"/>
  </r>
  <r>
    <x v="4"/>
    <x v="3"/>
    <x v="0"/>
  </r>
  <r>
    <x v="4"/>
    <x v="2"/>
    <x v="0"/>
  </r>
  <r>
    <x v="4"/>
    <x v="2"/>
    <x v="0"/>
  </r>
  <r>
    <x v="4"/>
    <x v="1"/>
    <x v="2"/>
  </r>
  <r>
    <x v="4"/>
    <x v="1"/>
    <x v="1"/>
  </r>
  <r>
    <x v="4"/>
    <x v="1"/>
    <x v="2"/>
  </r>
  <r>
    <x v="4"/>
    <x v="1"/>
    <x v="2"/>
  </r>
  <r>
    <x v="4"/>
    <x v="1"/>
    <x v="1"/>
  </r>
  <r>
    <x v="4"/>
    <x v="1"/>
    <x v="1"/>
  </r>
  <r>
    <x v="4"/>
    <x v="1"/>
    <x v="1"/>
  </r>
  <r>
    <x v="4"/>
    <x v="1"/>
    <x v="2"/>
  </r>
  <r>
    <x v="4"/>
    <x v="1"/>
    <x v="2"/>
  </r>
  <r>
    <x v="4"/>
    <x v="1"/>
    <x v="2"/>
  </r>
  <r>
    <x v="4"/>
    <x v="1"/>
    <x v="1"/>
  </r>
  <r>
    <x v="4"/>
    <x v="1"/>
    <x v="3"/>
  </r>
  <r>
    <x v="4"/>
    <x v="1"/>
    <x v="2"/>
  </r>
  <r>
    <x v="4"/>
    <x v="1"/>
    <x v="1"/>
  </r>
  <r>
    <x v="4"/>
    <x v="1"/>
    <x v="2"/>
  </r>
  <r>
    <x v="4"/>
    <x v="1"/>
    <x v="2"/>
  </r>
  <r>
    <x v="4"/>
    <x v="1"/>
    <x v="3"/>
  </r>
  <r>
    <x v="4"/>
    <x v="1"/>
    <x v="2"/>
  </r>
  <r>
    <x v="4"/>
    <x v="1"/>
    <x v="1"/>
  </r>
  <r>
    <x v="4"/>
    <x v="1"/>
    <x v="2"/>
  </r>
  <r>
    <x v="4"/>
    <x v="2"/>
    <x v="0"/>
  </r>
  <r>
    <x v="4"/>
    <x v="2"/>
    <x v="0"/>
  </r>
  <r>
    <x v="4"/>
    <x v="0"/>
    <x v="0"/>
  </r>
  <r>
    <x v="4"/>
    <x v="2"/>
    <x v="0"/>
  </r>
  <r>
    <x v="4"/>
    <x v="3"/>
    <x v="0"/>
  </r>
  <r>
    <x v="4"/>
    <x v="0"/>
    <x v="0"/>
  </r>
  <r>
    <x v="4"/>
    <x v="2"/>
    <x v="0"/>
  </r>
  <r>
    <x v="4"/>
    <x v="3"/>
    <x v="0"/>
  </r>
  <r>
    <x v="4"/>
    <x v="3"/>
    <x v="0"/>
  </r>
  <r>
    <x v="4"/>
    <x v="2"/>
    <x v="0"/>
  </r>
  <r>
    <x v="4"/>
    <x v="2"/>
    <x v="0"/>
  </r>
  <r>
    <x v="4"/>
    <x v="3"/>
    <x v="0"/>
  </r>
  <r>
    <x v="4"/>
    <x v="1"/>
    <x v="1"/>
  </r>
  <r>
    <x v="4"/>
    <x v="2"/>
    <x v="0"/>
  </r>
  <r>
    <x v="4"/>
    <x v="0"/>
    <x v="0"/>
  </r>
  <r>
    <x v="4"/>
    <x v="2"/>
    <x v="0"/>
  </r>
  <r>
    <x v="4"/>
    <x v="0"/>
    <x v="0"/>
  </r>
  <r>
    <x v="4"/>
    <x v="2"/>
    <x v="0"/>
  </r>
  <r>
    <x v="4"/>
    <x v="2"/>
    <x v="0"/>
  </r>
  <r>
    <x v="4"/>
    <x v="2"/>
    <x v="0"/>
  </r>
  <r>
    <x v="4"/>
    <x v="0"/>
    <x v="0"/>
  </r>
  <r>
    <x v="4"/>
    <x v="2"/>
    <x v="0"/>
  </r>
  <r>
    <x v="4"/>
    <x v="2"/>
    <x v="0"/>
  </r>
  <r>
    <x v="4"/>
    <x v="1"/>
    <x v="1"/>
  </r>
  <r>
    <x v="4"/>
    <x v="1"/>
    <x v="2"/>
  </r>
  <r>
    <x v="4"/>
    <x v="1"/>
    <x v="2"/>
  </r>
  <r>
    <x v="4"/>
    <x v="1"/>
    <x v="2"/>
  </r>
  <r>
    <x v="4"/>
    <x v="1"/>
    <x v="1"/>
  </r>
  <r>
    <x v="4"/>
    <x v="1"/>
    <x v="2"/>
  </r>
  <r>
    <x v="4"/>
    <x v="1"/>
    <x v="1"/>
  </r>
  <r>
    <x v="4"/>
    <x v="1"/>
    <x v="2"/>
  </r>
  <r>
    <x v="4"/>
    <x v="1"/>
    <x v="2"/>
  </r>
  <r>
    <x v="4"/>
    <x v="1"/>
    <x v="3"/>
  </r>
  <r>
    <x v="4"/>
    <x v="1"/>
    <x v="2"/>
  </r>
  <r>
    <x v="4"/>
    <x v="1"/>
    <x v="1"/>
  </r>
  <r>
    <x v="4"/>
    <x v="1"/>
    <x v="1"/>
  </r>
  <r>
    <x v="4"/>
    <x v="1"/>
    <x v="2"/>
  </r>
  <r>
    <x v="4"/>
    <x v="1"/>
    <x v="1"/>
  </r>
  <r>
    <x v="4"/>
    <x v="1"/>
    <x v="1"/>
  </r>
  <r>
    <x v="4"/>
    <x v="1"/>
    <x v="2"/>
  </r>
  <r>
    <x v="4"/>
    <x v="1"/>
    <x v="3"/>
  </r>
  <r>
    <x v="4"/>
    <x v="1"/>
    <x v="2"/>
  </r>
  <r>
    <x v="4"/>
    <x v="1"/>
    <x v="1"/>
  </r>
  <r>
    <x v="4"/>
    <x v="1"/>
    <x v="2"/>
  </r>
  <r>
    <x v="4"/>
    <x v="1"/>
    <x v="1"/>
  </r>
  <r>
    <x v="4"/>
    <x v="1"/>
    <x v="2"/>
  </r>
  <r>
    <x v="4"/>
    <x v="1"/>
    <x v="1"/>
  </r>
  <r>
    <x v="4"/>
    <x v="1"/>
    <x v="2"/>
  </r>
  <r>
    <x v="4"/>
    <x v="1"/>
    <x v="2"/>
  </r>
  <r>
    <x v="4"/>
    <x v="1"/>
    <x v="3"/>
  </r>
  <r>
    <x v="4"/>
    <x v="1"/>
    <x v="2"/>
  </r>
  <r>
    <x v="4"/>
    <x v="1"/>
    <x v="2"/>
  </r>
  <r>
    <x v="4"/>
    <x v="1"/>
    <x v="2"/>
  </r>
  <r>
    <x v="4"/>
    <x v="1"/>
    <x v="2"/>
  </r>
  <r>
    <x v="4"/>
    <x v="1"/>
    <x v="2"/>
  </r>
  <r>
    <x v="4"/>
    <x v="3"/>
    <x v="0"/>
  </r>
  <r>
    <x v="4"/>
    <x v="1"/>
    <x v="2"/>
  </r>
  <r>
    <x v="4"/>
    <x v="1"/>
    <x v="1"/>
  </r>
  <r>
    <x v="4"/>
    <x v="1"/>
    <x v="1"/>
  </r>
  <r>
    <x v="4"/>
    <x v="1"/>
    <x v="2"/>
  </r>
  <r>
    <x v="4"/>
    <x v="1"/>
    <x v="2"/>
  </r>
  <r>
    <x v="4"/>
    <x v="1"/>
    <x v="2"/>
  </r>
  <r>
    <x v="4"/>
    <x v="1"/>
    <x v="2"/>
  </r>
  <r>
    <x v="4"/>
    <x v="1"/>
    <x v="2"/>
  </r>
  <r>
    <x v="4"/>
    <x v="1"/>
    <x v="2"/>
  </r>
  <r>
    <x v="4"/>
    <x v="1"/>
    <x v="1"/>
  </r>
  <r>
    <x v="4"/>
    <x v="2"/>
    <x v="0"/>
  </r>
  <r>
    <x v="5"/>
    <x v="3"/>
    <x v="0"/>
  </r>
  <r>
    <x v="5"/>
    <x v="1"/>
    <x v="2"/>
  </r>
  <r>
    <x v="5"/>
    <x v="3"/>
    <x v="0"/>
  </r>
  <r>
    <x v="5"/>
    <x v="3"/>
    <x v="0"/>
  </r>
  <r>
    <x v="5"/>
    <x v="2"/>
    <x v="0"/>
  </r>
  <r>
    <x v="5"/>
    <x v="2"/>
    <x v="0"/>
  </r>
  <r>
    <x v="5"/>
    <x v="2"/>
    <x v="0"/>
  </r>
  <r>
    <x v="5"/>
    <x v="3"/>
    <x v="0"/>
  </r>
  <r>
    <x v="5"/>
    <x v="3"/>
    <x v="0"/>
  </r>
  <r>
    <x v="5"/>
    <x v="2"/>
    <x v="0"/>
  </r>
  <r>
    <x v="5"/>
    <x v="0"/>
    <x v="0"/>
  </r>
  <r>
    <x v="5"/>
    <x v="0"/>
    <x v="0"/>
  </r>
  <r>
    <x v="5"/>
    <x v="2"/>
    <x v="0"/>
  </r>
  <r>
    <x v="5"/>
    <x v="0"/>
    <x v="0"/>
  </r>
  <r>
    <x v="5"/>
    <x v="0"/>
    <x v="0"/>
  </r>
  <r>
    <x v="5"/>
    <x v="2"/>
    <x v="0"/>
  </r>
  <r>
    <x v="5"/>
    <x v="2"/>
    <x v="0"/>
  </r>
  <r>
    <x v="5"/>
    <x v="2"/>
    <x v="0"/>
  </r>
  <r>
    <x v="5"/>
    <x v="0"/>
    <x v="0"/>
  </r>
  <r>
    <x v="5"/>
    <x v="2"/>
    <x v="0"/>
  </r>
  <r>
    <x v="5"/>
    <x v="0"/>
    <x v="0"/>
  </r>
  <r>
    <x v="5"/>
    <x v="2"/>
    <x v="0"/>
  </r>
  <r>
    <x v="5"/>
    <x v="0"/>
    <x v="0"/>
  </r>
  <r>
    <x v="5"/>
    <x v="0"/>
    <x v="0"/>
  </r>
  <r>
    <x v="5"/>
    <x v="0"/>
    <x v="0"/>
  </r>
  <r>
    <x v="5"/>
    <x v="2"/>
    <x v="0"/>
  </r>
  <r>
    <x v="5"/>
    <x v="2"/>
    <x v="0"/>
  </r>
  <r>
    <x v="5"/>
    <x v="0"/>
    <x v="0"/>
  </r>
  <r>
    <x v="5"/>
    <x v="2"/>
    <x v="0"/>
  </r>
  <r>
    <x v="5"/>
    <x v="2"/>
    <x v="0"/>
  </r>
  <r>
    <x v="5"/>
    <x v="2"/>
    <x v="0"/>
  </r>
  <r>
    <x v="5"/>
    <x v="0"/>
    <x v="0"/>
  </r>
  <r>
    <x v="5"/>
    <x v="2"/>
    <x v="0"/>
  </r>
  <r>
    <x v="5"/>
    <x v="2"/>
    <x v="0"/>
  </r>
  <r>
    <x v="5"/>
    <x v="3"/>
    <x v="0"/>
  </r>
  <r>
    <x v="5"/>
    <x v="3"/>
    <x v="0"/>
  </r>
  <r>
    <x v="5"/>
    <x v="2"/>
    <x v="0"/>
  </r>
  <r>
    <x v="5"/>
    <x v="2"/>
    <x v="0"/>
  </r>
  <r>
    <x v="5"/>
    <x v="0"/>
    <x v="0"/>
  </r>
  <r>
    <x v="5"/>
    <x v="2"/>
    <x v="0"/>
  </r>
  <r>
    <x v="5"/>
    <x v="2"/>
    <x v="0"/>
  </r>
  <r>
    <x v="5"/>
    <x v="2"/>
    <x v="0"/>
  </r>
  <r>
    <x v="5"/>
    <x v="0"/>
    <x v="0"/>
  </r>
  <r>
    <x v="5"/>
    <x v="2"/>
    <x v="0"/>
  </r>
  <r>
    <x v="5"/>
    <x v="0"/>
    <x v="0"/>
  </r>
  <r>
    <x v="5"/>
    <x v="0"/>
    <x v="0"/>
  </r>
  <r>
    <x v="5"/>
    <x v="1"/>
    <x v="1"/>
  </r>
  <r>
    <x v="5"/>
    <x v="1"/>
    <x v="1"/>
  </r>
  <r>
    <x v="5"/>
    <x v="1"/>
    <x v="2"/>
  </r>
  <r>
    <x v="5"/>
    <x v="1"/>
    <x v="1"/>
  </r>
  <r>
    <x v="5"/>
    <x v="1"/>
    <x v="2"/>
  </r>
  <r>
    <x v="5"/>
    <x v="1"/>
    <x v="2"/>
  </r>
  <r>
    <x v="5"/>
    <x v="1"/>
    <x v="2"/>
  </r>
  <r>
    <x v="5"/>
    <x v="1"/>
    <x v="1"/>
  </r>
  <r>
    <x v="5"/>
    <x v="1"/>
    <x v="1"/>
  </r>
  <r>
    <x v="5"/>
    <x v="1"/>
    <x v="1"/>
  </r>
  <r>
    <x v="5"/>
    <x v="1"/>
    <x v="2"/>
  </r>
  <r>
    <x v="5"/>
    <x v="1"/>
    <x v="1"/>
  </r>
  <r>
    <x v="5"/>
    <x v="1"/>
    <x v="2"/>
  </r>
  <r>
    <x v="5"/>
    <x v="1"/>
    <x v="2"/>
  </r>
  <r>
    <x v="5"/>
    <x v="1"/>
    <x v="2"/>
  </r>
  <r>
    <x v="5"/>
    <x v="1"/>
    <x v="2"/>
  </r>
  <r>
    <x v="5"/>
    <x v="1"/>
    <x v="2"/>
  </r>
  <r>
    <x v="5"/>
    <x v="1"/>
    <x v="2"/>
  </r>
  <r>
    <x v="5"/>
    <x v="1"/>
    <x v="1"/>
  </r>
  <r>
    <x v="5"/>
    <x v="1"/>
    <x v="2"/>
  </r>
  <r>
    <x v="5"/>
    <x v="1"/>
    <x v="2"/>
  </r>
  <r>
    <x v="5"/>
    <x v="1"/>
    <x v="3"/>
  </r>
  <r>
    <x v="5"/>
    <x v="1"/>
    <x v="1"/>
  </r>
  <r>
    <x v="5"/>
    <x v="1"/>
    <x v="1"/>
  </r>
  <r>
    <x v="5"/>
    <x v="1"/>
    <x v="2"/>
  </r>
  <r>
    <x v="5"/>
    <x v="1"/>
    <x v="1"/>
  </r>
  <r>
    <x v="5"/>
    <x v="1"/>
    <x v="2"/>
  </r>
  <r>
    <x v="5"/>
    <x v="1"/>
    <x v="2"/>
  </r>
  <r>
    <x v="5"/>
    <x v="1"/>
    <x v="2"/>
  </r>
  <r>
    <x v="5"/>
    <x v="1"/>
    <x v="2"/>
  </r>
  <r>
    <x v="5"/>
    <x v="1"/>
    <x v="1"/>
  </r>
  <r>
    <x v="5"/>
    <x v="1"/>
    <x v="1"/>
  </r>
  <r>
    <x v="5"/>
    <x v="1"/>
    <x v="2"/>
  </r>
  <r>
    <x v="5"/>
    <x v="1"/>
    <x v="2"/>
  </r>
  <r>
    <x v="5"/>
    <x v="1"/>
    <x v="1"/>
  </r>
  <r>
    <x v="5"/>
    <x v="1"/>
    <x v="2"/>
  </r>
  <r>
    <x v="5"/>
    <x v="1"/>
    <x v="3"/>
  </r>
  <r>
    <x v="5"/>
    <x v="1"/>
    <x v="2"/>
  </r>
  <r>
    <x v="5"/>
    <x v="1"/>
    <x v="1"/>
  </r>
  <r>
    <x v="5"/>
    <x v="1"/>
    <x v="3"/>
  </r>
  <r>
    <x v="5"/>
    <x v="1"/>
    <x v="2"/>
  </r>
  <r>
    <x v="5"/>
    <x v="1"/>
    <x v="2"/>
  </r>
  <r>
    <x v="5"/>
    <x v="1"/>
    <x v="3"/>
  </r>
  <r>
    <x v="5"/>
    <x v="1"/>
    <x v="1"/>
  </r>
  <r>
    <x v="5"/>
    <x v="1"/>
    <x v="1"/>
  </r>
  <r>
    <x v="5"/>
    <x v="2"/>
    <x v="0"/>
  </r>
  <r>
    <x v="6"/>
    <x v="1"/>
    <x v="1"/>
  </r>
  <r>
    <x v="6"/>
    <x v="1"/>
    <x v="1"/>
  </r>
  <r>
    <x v="6"/>
    <x v="1"/>
    <x v="2"/>
  </r>
  <r>
    <x v="6"/>
    <x v="1"/>
    <x v="1"/>
  </r>
  <r>
    <x v="6"/>
    <x v="1"/>
    <x v="2"/>
  </r>
  <r>
    <x v="6"/>
    <x v="1"/>
    <x v="2"/>
  </r>
  <r>
    <x v="6"/>
    <x v="1"/>
    <x v="2"/>
  </r>
  <r>
    <x v="6"/>
    <x v="1"/>
    <x v="3"/>
  </r>
  <r>
    <x v="6"/>
    <x v="1"/>
    <x v="2"/>
  </r>
  <r>
    <x v="6"/>
    <x v="1"/>
    <x v="2"/>
  </r>
  <r>
    <x v="6"/>
    <x v="1"/>
    <x v="1"/>
  </r>
  <r>
    <x v="6"/>
    <x v="1"/>
    <x v="2"/>
  </r>
  <r>
    <x v="6"/>
    <x v="1"/>
    <x v="1"/>
  </r>
  <r>
    <x v="6"/>
    <x v="1"/>
    <x v="2"/>
  </r>
  <r>
    <x v="6"/>
    <x v="1"/>
    <x v="2"/>
  </r>
  <r>
    <x v="6"/>
    <x v="1"/>
    <x v="2"/>
  </r>
  <r>
    <x v="6"/>
    <x v="1"/>
    <x v="2"/>
  </r>
  <r>
    <x v="6"/>
    <x v="1"/>
    <x v="1"/>
  </r>
  <r>
    <x v="6"/>
    <x v="1"/>
    <x v="2"/>
  </r>
  <r>
    <x v="6"/>
    <x v="0"/>
    <x v="0"/>
  </r>
  <r>
    <x v="6"/>
    <x v="0"/>
    <x v="0"/>
  </r>
  <r>
    <x v="6"/>
    <x v="2"/>
    <x v="0"/>
  </r>
  <r>
    <x v="6"/>
    <x v="3"/>
    <x v="0"/>
  </r>
  <r>
    <x v="6"/>
    <x v="3"/>
    <x v="0"/>
  </r>
  <r>
    <x v="6"/>
    <x v="0"/>
    <x v="0"/>
  </r>
  <r>
    <x v="6"/>
    <x v="0"/>
    <x v="0"/>
  </r>
  <r>
    <x v="6"/>
    <x v="3"/>
    <x v="0"/>
  </r>
  <r>
    <x v="6"/>
    <x v="0"/>
    <x v="0"/>
  </r>
  <r>
    <x v="6"/>
    <x v="2"/>
    <x v="0"/>
  </r>
  <r>
    <x v="6"/>
    <x v="0"/>
    <x v="0"/>
  </r>
  <r>
    <x v="6"/>
    <x v="2"/>
    <x v="0"/>
  </r>
  <r>
    <x v="6"/>
    <x v="0"/>
    <x v="0"/>
  </r>
  <r>
    <x v="6"/>
    <x v="2"/>
    <x v="0"/>
  </r>
  <r>
    <x v="6"/>
    <x v="2"/>
    <x v="0"/>
  </r>
  <r>
    <x v="6"/>
    <x v="3"/>
    <x v="0"/>
  </r>
  <r>
    <x v="6"/>
    <x v="0"/>
    <x v="0"/>
  </r>
  <r>
    <x v="6"/>
    <x v="3"/>
    <x v="0"/>
  </r>
  <r>
    <x v="6"/>
    <x v="1"/>
    <x v="3"/>
  </r>
  <r>
    <x v="6"/>
    <x v="1"/>
    <x v="2"/>
  </r>
  <r>
    <x v="6"/>
    <x v="2"/>
    <x v="0"/>
  </r>
  <r>
    <x v="6"/>
    <x v="3"/>
    <x v="0"/>
  </r>
  <r>
    <x v="6"/>
    <x v="2"/>
    <x v="0"/>
  </r>
  <r>
    <x v="6"/>
    <x v="3"/>
    <x v="0"/>
  </r>
  <r>
    <x v="6"/>
    <x v="3"/>
    <x v="0"/>
  </r>
  <r>
    <x v="6"/>
    <x v="2"/>
    <x v="0"/>
  </r>
  <r>
    <x v="6"/>
    <x v="2"/>
    <x v="0"/>
  </r>
  <r>
    <x v="6"/>
    <x v="3"/>
    <x v="0"/>
  </r>
  <r>
    <x v="6"/>
    <x v="2"/>
    <x v="0"/>
  </r>
  <r>
    <x v="6"/>
    <x v="0"/>
    <x v="0"/>
  </r>
  <r>
    <x v="6"/>
    <x v="2"/>
    <x v="0"/>
  </r>
  <r>
    <x v="6"/>
    <x v="2"/>
    <x v="0"/>
  </r>
  <r>
    <x v="6"/>
    <x v="0"/>
    <x v="0"/>
  </r>
  <r>
    <x v="6"/>
    <x v="3"/>
    <x v="0"/>
  </r>
  <r>
    <x v="6"/>
    <x v="2"/>
    <x v="0"/>
  </r>
  <r>
    <x v="6"/>
    <x v="3"/>
    <x v="0"/>
  </r>
  <r>
    <x v="6"/>
    <x v="1"/>
    <x v="3"/>
  </r>
  <r>
    <x v="6"/>
    <x v="1"/>
    <x v="1"/>
  </r>
  <r>
    <x v="6"/>
    <x v="1"/>
    <x v="2"/>
  </r>
  <r>
    <x v="6"/>
    <x v="1"/>
    <x v="3"/>
  </r>
  <r>
    <x v="6"/>
    <x v="1"/>
    <x v="2"/>
  </r>
  <r>
    <x v="6"/>
    <x v="1"/>
    <x v="2"/>
  </r>
  <r>
    <x v="6"/>
    <x v="1"/>
    <x v="1"/>
  </r>
  <r>
    <x v="6"/>
    <x v="1"/>
    <x v="1"/>
  </r>
  <r>
    <x v="6"/>
    <x v="1"/>
    <x v="3"/>
  </r>
  <r>
    <x v="6"/>
    <x v="1"/>
    <x v="2"/>
  </r>
  <r>
    <x v="6"/>
    <x v="1"/>
    <x v="3"/>
  </r>
  <r>
    <x v="6"/>
    <x v="3"/>
    <x v="0"/>
  </r>
  <r>
    <x v="6"/>
    <x v="1"/>
    <x v="2"/>
  </r>
  <r>
    <x v="6"/>
    <x v="1"/>
    <x v="2"/>
  </r>
  <r>
    <x v="6"/>
    <x v="1"/>
    <x v="1"/>
  </r>
  <r>
    <x v="6"/>
    <x v="1"/>
    <x v="2"/>
  </r>
  <r>
    <x v="6"/>
    <x v="1"/>
    <x v="1"/>
  </r>
  <r>
    <x v="6"/>
    <x v="1"/>
    <x v="1"/>
  </r>
  <r>
    <x v="6"/>
    <x v="2"/>
    <x v="0"/>
  </r>
  <r>
    <x v="6"/>
    <x v="1"/>
    <x v="2"/>
  </r>
  <r>
    <x v="6"/>
    <x v="3"/>
    <x v="0"/>
  </r>
  <r>
    <x v="6"/>
    <x v="2"/>
    <x v="0"/>
  </r>
  <r>
    <x v="6"/>
    <x v="2"/>
    <x v="0"/>
  </r>
  <r>
    <x v="6"/>
    <x v="2"/>
    <x v="0"/>
  </r>
  <r>
    <x v="6"/>
    <x v="2"/>
    <x v="0"/>
  </r>
  <r>
    <x v="6"/>
    <x v="3"/>
    <x v="0"/>
  </r>
  <r>
    <x v="6"/>
    <x v="2"/>
    <x v="0"/>
  </r>
  <r>
    <x v="6"/>
    <x v="3"/>
    <x v="0"/>
  </r>
  <r>
    <x v="6"/>
    <x v="1"/>
    <x v="1"/>
  </r>
  <r>
    <x v="6"/>
    <x v="1"/>
    <x v="2"/>
  </r>
  <r>
    <x v="6"/>
    <x v="1"/>
    <x v="2"/>
  </r>
  <r>
    <x v="6"/>
    <x v="1"/>
    <x v="1"/>
  </r>
  <r>
    <x v="6"/>
    <x v="2"/>
    <x v="0"/>
  </r>
  <r>
    <x v="7"/>
    <x v="2"/>
    <x v="0"/>
  </r>
  <r>
    <x v="7"/>
    <x v="3"/>
    <x v="0"/>
  </r>
  <r>
    <x v="7"/>
    <x v="2"/>
    <x v="0"/>
  </r>
  <r>
    <x v="7"/>
    <x v="2"/>
    <x v="0"/>
  </r>
  <r>
    <x v="7"/>
    <x v="2"/>
    <x v="0"/>
  </r>
  <r>
    <x v="7"/>
    <x v="3"/>
    <x v="0"/>
  </r>
  <r>
    <x v="7"/>
    <x v="3"/>
    <x v="0"/>
  </r>
  <r>
    <x v="7"/>
    <x v="2"/>
    <x v="0"/>
  </r>
  <r>
    <x v="7"/>
    <x v="2"/>
    <x v="0"/>
  </r>
  <r>
    <x v="7"/>
    <x v="3"/>
    <x v="0"/>
  </r>
  <r>
    <x v="7"/>
    <x v="2"/>
    <x v="0"/>
  </r>
  <r>
    <x v="7"/>
    <x v="3"/>
    <x v="0"/>
  </r>
  <r>
    <x v="7"/>
    <x v="2"/>
    <x v="0"/>
  </r>
  <r>
    <x v="7"/>
    <x v="0"/>
    <x v="0"/>
  </r>
  <r>
    <x v="7"/>
    <x v="3"/>
    <x v="0"/>
  </r>
  <r>
    <x v="7"/>
    <x v="3"/>
    <x v="0"/>
  </r>
  <r>
    <x v="7"/>
    <x v="2"/>
    <x v="0"/>
  </r>
  <r>
    <x v="7"/>
    <x v="2"/>
    <x v="0"/>
  </r>
  <r>
    <x v="7"/>
    <x v="3"/>
    <x v="0"/>
  </r>
  <r>
    <x v="7"/>
    <x v="2"/>
    <x v="0"/>
  </r>
  <r>
    <x v="7"/>
    <x v="2"/>
    <x v="0"/>
  </r>
  <r>
    <x v="7"/>
    <x v="2"/>
    <x v="0"/>
  </r>
  <r>
    <x v="7"/>
    <x v="3"/>
    <x v="0"/>
  </r>
  <r>
    <x v="7"/>
    <x v="2"/>
    <x v="0"/>
  </r>
  <r>
    <x v="7"/>
    <x v="2"/>
    <x v="0"/>
  </r>
  <r>
    <x v="7"/>
    <x v="0"/>
    <x v="0"/>
  </r>
  <r>
    <x v="7"/>
    <x v="2"/>
    <x v="0"/>
  </r>
  <r>
    <x v="7"/>
    <x v="2"/>
    <x v="0"/>
  </r>
  <r>
    <x v="7"/>
    <x v="0"/>
    <x v="0"/>
  </r>
  <r>
    <x v="7"/>
    <x v="3"/>
    <x v="0"/>
  </r>
  <r>
    <x v="7"/>
    <x v="2"/>
    <x v="0"/>
  </r>
  <r>
    <x v="7"/>
    <x v="0"/>
    <x v="0"/>
  </r>
  <r>
    <x v="7"/>
    <x v="2"/>
    <x v="0"/>
  </r>
  <r>
    <x v="7"/>
    <x v="2"/>
    <x v="0"/>
  </r>
  <r>
    <x v="7"/>
    <x v="2"/>
    <x v="0"/>
  </r>
  <r>
    <x v="7"/>
    <x v="3"/>
    <x v="0"/>
  </r>
  <r>
    <x v="7"/>
    <x v="2"/>
    <x v="0"/>
  </r>
  <r>
    <x v="7"/>
    <x v="0"/>
    <x v="0"/>
  </r>
  <r>
    <x v="7"/>
    <x v="3"/>
    <x v="0"/>
  </r>
  <r>
    <x v="7"/>
    <x v="3"/>
    <x v="0"/>
  </r>
  <r>
    <x v="7"/>
    <x v="2"/>
    <x v="0"/>
  </r>
  <r>
    <x v="7"/>
    <x v="3"/>
    <x v="0"/>
  </r>
  <r>
    <x v="7"/>
    <x v="2"/>
    <x v="0"/>
  </r>
  <r>
    <x v="7"/>
    <x v="3"/>
    <x v="0"/>
  </r>
  <r>
    <x v="7"/>
    <x v="2"/>
    <x v="0"/>
  </r>
  <r>
    <x v="7"/>
    <x v="2"/>
    <x v="0"/>
  </r>
  <r>
    <x v="7"/>
    <x v="3"/>
    <x v="0"/>
  </r>
  <r>
    <x v="7"/>
    <x v="1"/>
    <x v="2"/>
  </r>
  <r>
    <x v="7"/>
    <x v="1"/>
    <x v="2"/>
  </r>
  <r>
    <x v="7"/>
    <x v="1"/>
    <x v="1"/>
  </r>
  <r>
    <x v="7"/>
    <x v="1"/>
    <x v="3"/>
  </r>
  <r>
    <x v="7"/>
    <x v="1"/>
    <x v="1"/>
  </r>
  <r>
    <x v="7"/>
    <x v="1"/>
    <x v="2"/>
  </r>
  <r>
    <x v="7"/>
    <x v="1"/>
    <x v="2"/>
  </r>
  <r>
    <x v="7"/>
    <x v="1"/>
    <x v="1"/>
  </r>
  <r>
    <x v="7"/>
    <x v="1"/>
    <x v="1"/>
  </r>
  <r>
    <x v="7"/>
    <x v="1"/>
    <x v="2"/>
  </r>
  <r>
    <x v="7"/>
    <x v="1"/>
    <x v="3"/>
  </r>
  <r>
    <x v="7"/>
    <x v="1"/>
    <x v="2"/>
  </r>
  <r>
    <x v="7"/>
    <x v="1"/>
    <x v="1"/>
  </r>
  <r>
    <x v="7"/>
    <x v="1"/>
    <x v="1"/>
  </r>
  <r>
    <x v="7"/>
    <x v="1"/>
    <x v="1"/>
  </r>
  <r>
    <x v="7"/>
    <x v="1"/>
    <x v="2"/>
  </r>
  <r>
    <x v="7"/>
    <x v="1"/>
    <x v="1"/>
  </r>
  <r>
    <x v="7"/>
    <x v="1"/>
    <x v="1"/>
  </r>
  <r>
    <x v="7"/>
    <x v="1"/>
    <x v="1"/>
  </r>
  <r>
    <x v="7"/>
    <x v="1"/>
    <x v="1"/>
  </r>
  <r>
    <x v="7"/>
    <x v="1"/>
    <x v="2"/>
  </r>
  <r>
    <x v="7"/>
    <x v="1"/>
    <x v="2"/>
  </r>
  <r>
    <x v="7"/>
    <x v="1"/>
    <x v="3"/>
  </r>
  <r>
    <x v="7"/>
    <x v="1"/>
    <x v="1"/>
  </r>
  <r>
    <x v="7"/>
    <x v="1"/>
    <x v="2"/>
  </r>
  <r>
    <x v="7"/>
    <x v="1"/>
    <x v="1"/>
  </r>
  <r>
    <x v="7"/>
    <x v="1"/>
    <x v="2"/>
  </r>
  <r>
    <x v="7"/>
    <x v="1"/>
    <x v="2"/>
  </r>
  <r>
    <x v="7"/>
    <x v="1"/>
    <x v="3"/>
  </r>
  <r>
    <x v="7"/>
    <x v="1"/>
    <x v="3"/>
  </r>
  <r>
    <x v="7"/>
    <x v="1"/>
    <x v="2"/>
  </r>
  <r>
    <x v="7"/>
    <x v="1"/>
    <x v="1"/>
  </r>
  <r>
    <x v="7"/>
    <x v="1"/>
    <x v="2"/>
  </r>
  <r>
    <x v="7"/>
    <x v="1"/>
    <x v="1"/>
  </r>
  <r>
    <x v="7"/>
    <x v="1"/>
    <x v="1"/>
  </r>
  <r>
    <x v="7"/>
    <x v="1"/>
    <x v="1"/>
  </r>
  <r>
    <x v="7"/>
    <x v="1"/>
    <x v="2"/>
  </r>
  <r>
    <x v="7"/>
    <x v="1"/>
    <x v="2"/>
  </r>
  <r>
    <x v="7"/>
    <x v="1"/>
    <x v="1"/>
  </r>
  <r>
    <x v="7"/>
    <x v="1"/>
    <x v="2"/>
  </r>
  <r>
    <x v="7"/>
    <x v="1"/>
    <x v="1"/>
  </r>
  <r>
    <x v="7"/>
    <x v="1"/>
    <x v="2"/>
  </r>
  <r>
    <x v="7"/>
    <x v="1"/>
    <x v="2"/>
  </r>
  <r>
    <x v="7"/>
    <x v="2"/>
    <x v="0"/>
  </r>
  <r>
    <x v="7"/>
    <x v="1"/>
    <x v="2"/>
  </r>
  <r>
    <x v="7"/>
    <x v="1"/>
    <x v="2"/>
  </r>
  <r>
    <x v="7"/>
    <x v="0"/>
    <x v="0"/>
  </r>
  <r>
    <x v="7"/>
    <x v="2"/>
    <x v="0"/>
  </r>
  <r>
    <x v="7"/>
    <x v="2"/>
    <x v="0"/>
  </r>
  <r>
    <x v="7"/>
    <x v="0"/>
    <x v="0"/>
  </r>
  <r>
    <x v="7"/>
    <x v="0"/>
    <x v="0"/>
  </r>
  <r>
    <x v="7"/>
    <x v="3"/>
    <x v="0"/>
  </r>
  <r>
    <x v="7"/>
    <x v="0"/>
    <x v="0"/>
  </r>
  <r>
    <x v="7"/>
    <x v="2"/>
    <x v="0"/>
  </r>
  <r>
    <x v="7"/>
    <x v="3"/>
    <x v="0"/>
  </r>
  <r>
    <x v="7"/>
    <x v="2"/>
    <x v="0"/>
  </r>
  <r>
    <x v="7"/>
    <x v="1"/>
    <x v="2"/>
  </r>
  <r>
    <x v="7"/>
    <x v="1"/>
    <x v="2"/>
  </r>
  <r>
    <x v="7"/>
    <x v="2"/>
    <x v="0"/>
  </r>
  <r>
    <x v="7"/>
    <x v="1"/>
    <x v="1"/>
  </r>
  <r>
    <x v="8"/>
    <x v="1"/>
    <x v="2"/>
  </r>
  <r>
    <x v="8"/>
    <x v="1"/>
    <x v="1"/>
  </r>
  <r>
    <x v="8"/>
    <x v="1"/>
    <x v="2"/>
  </r>
  <r>
    <x v="8"/>
    <x v="1"/>
    <x v="1"/>
  </r>
  <r>
    <x v="8"/>
    <x v="1"/>
    <x v="1"/>
  </r>
  <r>
    <x v="8"/>
    <x v="1"/>
    <x v="1"/>
  </r>
  <r>
    <x v="8"/>
    <x v="1"/>
    <x v="1"/>
  </r>
  <r>
    <x v="8"/>
    <x v="1"/>
    <x v="1"/>
  </r>
  <r>
    <x v="8"/>
    <x v="1"/>
    <x v="1"/>
  </r>
  <r>
    <x v="8"/>
    <x v="1"/>
    <x v="2"/>
  </r>
  <r>
    <x v="8"/>
    <x v="1"/>
    <x v="3"/>
  </r>
  <r>
    <x v="8"/>
    <x v="1"/>
    <x v="2"/>
  </r>
  <r>
    <x v="8"/>
    <x v="1"/>
    <x v="2"/>
  </r>
  <r>
    <x v="8"/>
    <x v="1"/>
    <x v="1"/>
  </r>
  <r>
    <x v="8"/>
    <x v="1"/>
    <x v="1"/>
  </r>
  <r>
    <x v="8"/>
    <x v="1"/>
    <x v="3"/>
  </r>
  <r>
    <x v="8"/>
    <x v="1"/>
    <x v="2"/>
  </r>
  <r>
    <x v="8"/>
    <x v="1"/>
    <x v="2"/>
  </r>
  <r>
    <x v="8"/>
    <x v="1"/>
    <x v="1"/>
  </r>
  <r>
    <x v="8"/>
    <x v="1"/>
    <x v="1"/>
  </r>
  <r>
    <x v="8"/>
    <x v="1"/>
    <x v="3"/>
  </r>
  <r>
    <x v="8"/>
    <x v="1"/>
    <x v="2"/>
  </r>
  <r>
    <x v="8"/>
    <x v="1"/>
    <x v="2"/>
  </r>
  <r>
    <x v="8"/>
    <x v="1"/>
    <x v="1"/>
  </r>
  <r>
    <x v="8"/>
    <x v="1"/>
    <x v="1"/>
  </r>
  <r>
    <x v="8"/>
    <x v="1"/>
    <x v="1"/>
  </r>
  <r>
    <x v="8"/>
    <x v="1"/>
    <x v="1"/>
  </r>
  <r>
    <x v="8"/>
    <x v="1"/>
    <x v="2"/>
  </r>
  <r>
    <x v="8"/>
    <x v="1"/>
    <x v="2"/>
  </r>
  <r>
    <x v="8"/>
    <x v="1"/>
    <x v="2"/>
  </r>
  <r>
    <x v="8"/>
    <x v="1"/>
    <x v="3"/>
  </r>
  <r>
    <x v="8"/>
    <x v="1"/>
    <x v="2"/>
  </r>
  <r>
    <x v="8"/>
    <x v="3"/>
    <x v="0"/>
  </r>
  <r>
    <x v="8"/>
    <x v="2"/>
    <x v="0"/>
  </r>
  <r>
    <x v="8"/>
    <x v="2"/>
    <x v="0"/>
  </r>
  <r>
    <x v="8"/>
    <x v="3"/>
    <x v="0"/>
  </r>
  <r>
    <x v="8"/>
    <x v="1"/>
    <x v="3"/>
  </r>
  <r>
    <x v="8"/>
    <x v="0"/>
    <x v="0"/>
  </r>
  <r>
    <x v="8"/>
    <x v="3"/>
    <x v="0"/>
  </r>
  <r>
    <x v="8"/>
    <x v="2"/>
    <x v="0"/>
  </r>
  <r>
    <x v="8"/>
    <x v="3"/>
    <x v="0"/>
  </r>
  <r>
    <x v="8"/>
    <x v="3"/>
    <x v="0"/>
  </r>
  <r>
    <x v="8"/>
    <x v="3"/>
    <x v="0"/>
  </r>
  <r>
    <x v="8"/>
    <x v="3"/>
    <x v="0"/>
  </r>
  <r>
    <x v="8"/>
    <x v="2"/>
    <x v="0"/>
  </r>
  <r>
    <x v="8"/>
    <x v="0"/>
    <x v="0"/>
  </r>
  <r>
    <x v="8"/>
    <x v="3"/>
    <x v="0"/>
  </r>
  <r>
    <x v="8"/>
    <x v="2"/>
    <x v="0"/>
  </r>
  <r>
    <x v="8"/>
    <x v="0"/>
    <x v="0"/>
  </r>
  <r>
    <x v="8"/>
    <x v="3"/>
    <x v="0"/>
  </r>
  <r>
    <x v="8"/>
    <x v="0"/>
    <x v="0"/>
  </r>
  <r>
    <x v="8"/>
    <x v="2"/>
    <x v="0"/>
  </r>
  <r>
    <x v="8"/>
    <x v="1"/>
    <x v="1"/>
  </r>
  <r>
    <x v="8"/>
    <x v="3"/>
    <x v="0"/>
  </r>
  <r>
    <x v="8"/>
    <x v="2"/>
    <x v="0"/>
  </r>
  <r>
    <x v="8"/>
    <x v="2"/>
    <x v="0"/>
  </r>
  <r>
    <x v="8"/>
    <x v="2"/>
    <x v="0"/>
  </r>
  <r>
    <x v="8"/>
    <x v="0"/>
    <x v="0"/>
  </r>
  <r>
    <x v="8"/>
    <x v="0"/>
    <x v="0"/>
  </r>
  <r>
    <x v="8"/>
    <x v="2"/>
    <x v="0"/>
  </r>
  <r>
    <x v="8"/>
    <x v="3"/>
    <x v="0"/>
  </r>
  <r>
    <x v="8"/>
    <x v="3"/>
    <x v="0"/>
  </r>
  <r>
    <x v="8"/>
    <x v="1"/>
    <x v="2"/>
  </r>
  <r>
    <x v="8"/>
    <x v="1"/>
    <x v="3"/>
  </r>
  <r>
    <x v="8"/>
    <x v="1"/>
    <x v="2"/>
  </r>
  <r>
    <x v="8"/>
    <x v="1"/>
    <x v="2"/>
  </r>
  <r>
    <x v="8"/>
    <x v="1"/>
    <x v="2"/>
  </r>
  <r>
    <x v="8"/>
    <x v="1"/>
    <x v="2"/>
  </r>
  <r>
    <x v="8"/>
    <x v="1"/>
    <x v="1"/>
  </r>
  <r>
    <x v="8"/>
    <x v="1"/>
    <x v="2"/>
  </r>
  <r>
    <x v="8"/>
    <x v="1"/>
    <x v="2"/>
  </r>
  <r>
    <x v="8"/>
    <x v="1"/>
    <x v="2"/>
  </r>
  <r>
    <x v="8"/>
    <x v="1"/>
    <x v="1"/>
  </r>
  <r>
    <x v="8"/>
    <x v="0"/>
    <x v="0"/>
  </r>
  <r>
    <x v="8"/>
    <x v="2"/>
    <x v="0"/>
  </r>
  <r>
    <x v="8"/>
    <x v="3"/>
    <x v="0"/>
  </r>
  <r>
    <x v="8"/>
    <x v="3"/>
    <x v="0"/>
  </r>
  <r>
    <x v="8"/>
    <x v="2"/>
    <x v="0"/>
  </r>
  <r>
    <x v="8"/>
    <x v="3"/>
    <x v="0"/>
  </r>
  <r>
    <x v="8"/>
    <x v="2"/>
    <x v="0"/>
  </r>
  <r>
    <x v="8"/>
    <x v="0"/>
    <x v="0"/>
  </r>
  <r>
    <x v="8"/>
    <x v="2"/>
    <x v="0"/>
  </r>
  <r>
    <x v="8"/>
    <x v="3"/>
    <x v="0"/>
  </r>
  <r>
    <x v="8"/>
    <x v="0"/>
    <x v="0"/>
  </r>
  <r>
    <x v="8"/>
    <x v="2"/>
    <x v="0"/>
  </r>
  <r>
    <x v="8"/>
    <x v="3"/>
    <x v="0"/>
  </r>
  <r>
    <x v="8"/>
    <x v="2"/>
    <x v="0"/>
  </r>
  <r>
    <x v="8"/>
    <x v="3"/>
    <x v="0"/>
  </r>
  <r>
    <x v="8"/>
    <x v="3"/>
    <x v="0"/>
  </r>
  <r>
    <x v="8"/>
    <x v="2"/>
    <x v="0"/>
  </r>
  <r>
    <x v="9"/>
    <x v="1"/>
    <x v="1"/>
  </r>
  <r>
    <x v="9"/>
    <x v="1"/>
    <x v="2"/>
  </r>
  <r>
    <x v="9"/>
    <x v="1"/>
    <x v="1"/>
  </r>
  <r>
    <x v="9"/>
    <x v="1"/>
    <x v="1"/>
  </r>
  <r>
    <x v="9"/>
    <x v="1"/>
    <x v="2"/>
  </r>
  <r>
    <x v="9"/>
    <x v="1"/>
    <x v="1"/>
  </r>
  <r>
    <x v="9"/>
    <x v="1"/>
    <x v="2"/>
  </r>
  <r>
    <x v="9"/>
    <x v="1"/>
    <x v="1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1"/>
  </r>
  <r>
    <x v="9"/>
    <x v="1"/>
    <x v="2"/>
  </r>
  <r>
    <x v="9"/>
    <x v="1"/>
    <x v="1"/>
  </r>
  <r>
    <x v="9"/>
    <x v="1"/>
    <x v="2"/>
  </r>
  <r>
    <x v="9"/>
    <x v="1"/>
    <x v="1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1"/>
  </r>
  <r>
    <x v="9"/>
    <x v="1"/>
    <x v="3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3"/>
  </r>
  <r>
    <x v="9"/>
    <x v="1"/>
    <x v="1"/>
  </r>
  <r>
    <x v="9"/>
    <x v="1"/>
    <x v="1"/>
  </r>
  <r>
    <x v="9"/>
    <x v="1"/>
    <x v="2"/>
  </r>
  <r>
    <x v="9"/>
    <x v="1"/>
    <x v="2"/>
  </r>
  <r>
    <x v="9"/>
    <x v="1"/>
    <x v="2"/>
  </r>
  <r>
    <x v="9"/>
    <x v="1"/>
    <x v="2"/>
  </r>
  <r>
    <x v="9"/>
    <x v="1"/>
    <x v="1"/>
  </r>
  <r>
    <x v="9"/>
    <x v="1"/>
    <x v="1"/>
  </r>
  <r>
    <x v="9"/>
    <x v="1"/>
    <x v="1"/>
  </r>
  <r>
    <x v="9"/>
    <x v="1"/>
    <x v="3"/>
  </r>
  <r>
    <x v="9"/>
    <x v="1"/>
    <x v="2"/>
  </r>
  <r>
    <x v="9"/>
    <x v="2"/>
    <x v="0"/>
  </r>
  <r>
    <x v="9"/>
    <x v="2"/>
    <x v="0"/>
  </r>
  <r>
    <x v="9"/>
    <x v="2"/>
    <x v="0"/>
  </r>
  <r>
    <x v="9"/>
    <x v="3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3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3"/>
    <x v="0"/>
  </r>
  <r>
    <x v="9"/>
    <x v="2"/>
    <x v="0"/>
  </r>
  <r>
    <x v="9"/>
    <x v="3"/>
    <x v="0"/>
  </r>
  <r>
    <x v="9"/>
    <x v="2"/>
    <x v="0"/>
  </r>
  <r>
    <x v="9"/>
    <x v="3"/>
    <x v="0"/>
  </r>
  <r>
    <x v="9"/>
    <x v="2"/>
    <x v="0"/>
  </r>
  <r>
    <x v="9"/>
    <x v="3"/>
    <x v="0"/>
  </r>
  <r>
    <x v="9"/>
    <x v="2"/>
    <x v="0"/>
  </r>
  <r>
    <x v="9"/>
    <x v="0"/>
    <x v="0"/>
  </r>
  <r>
    <x v="9"/>
    <x v="0"/>
    <x v="0"/>
  </r>
  <r>
    <x v="9"/>
    <x v="2"/>
    <x v="0"/>
  </r>
  <r>
    <x v="9"/>
    <x v="2"/>
    <x v="0"/>
  </r>
  <r>
    <x v="9"/>
    <x v="3"/>
    <x v="0"/>
  </r>
  <r>
    <x v="9"/>
    <x v="3"/>
    <x v="0"/>
  </r>
  <r>
    <x v="9"/>
    <x v="1"/>
    <x v="3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3"/>
    <x v="0"/>
  </r>
  <r>
    <x v="9"/>
    <x v="2"/>
    <x v="0"/>
  </r>
  <r>
    <x v="9"/>
    <x v="2"/>
    <x v="0"/>
  </r>
  <r>
    <x v="9"/>
    <x v="3"/>
    <x v="0"/>
  </r>
  <r>
    <x v="9"/>
    <x v="3"/>
    <x v="0"/>
  </r>
  <r>
    <x v="9"/>
    <x v="2"/>
    <x v="0"/>
  </r>
  <r>
    <x v="9"/>
    <x v="2"/>
    <x v="0"/>
  </r>
  <r>
    <x v="9"/>
    <x v="3"/>
    <x v="0"/>
  </r>
  <r>
    <x v="9"/>
    <x v="2"/>
    <x v="0"/>
  </r>
  <r>
    <x v="9"/>
    <x v="3"/>
    <x v="0"/>
  </r>
  <r>
    <x v="9"/>
    <x v="3"/>
    <x v="0"/>
  </r>
  <r>
    <x v="9"/>
    <x v="3"/>
    <x v="0"/>
  </r>
  <r>
    <x v="9"/>
    <x v="2"/>
    <x v="0"/>
  </r>
  <r>
    <x v="9"/>
    <x v="3"/>
    <x v="0"/>
  </r>
  <r>
    <x v="9"/>
    <x v="0"/>
    <x v="0"/>
  </r>
  <r>
    <x v="9"/>
    <x v="3"/>
    <x v="0"/>
  </r>
  <r>
    <x v="1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5" cacheId="13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6" indent="0" outline="1" outlineData="1" multipleFieldFilters="0" chartFormat="29" fieldListSortAscending="1">
  <location ref="A6:C18" firstHeaderRow="0" firstDataRow="1" firstDataCol="1"/>
  <pivotFields count="3">
    <pivotField name="HORA" axis="axisRow" numFmtId="164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 defaultSubtotal="0"/>
    <pivotField dataField="1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Vendas Sipag" fld="1" subtotal="count" baseField="0" baseItem="0"/>
    <dataField name="Vendas 7Pay" fld="2" subtotal="count" baseField="0" baseItem="1"/>
  </dataFields>
  <formats count="1">
    <format dxfId="1">
      <pivotArea dataOnly="0" labelOnly="1" fieldPosition="0">
        <references count="1">
          <reference field="0" count="0"/>
        </references>
      </pivotArea>
    </format>
  </formats>
  <chartFormats count="6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0000000-0016-0000-0100-000000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DATA DA VENDA" tableColumnId="1"/>
      <queryTableField id="2" name="STATUS" tableColumnId="2"/>
      <queryTableField id="3" name="VALOR BRUTO" tableColumnId="3"/>
      <queryTableField id="4" name="TIPO VEND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00000000-0016-0000-0200-000001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ATA DA VENDA" tableColumnId="1"/>
      <queryTableField id="2" name="Forma de Pagamento" tableColumnId="2"/>
      <queryTableField id="3" name="Total plano de vend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_7Pay_2" displayName="Tabela_7Pay_2" ref="A6:D490" tableType="queryTable" totalsRowShown="0">
  <autoFilter ref="A6:D490" xr:uid="{00000000-000C-0000-FFFF-FFFF00000000}"/>
  <sortState xmlns:xlrd2="http://schemas.microsoft.com/office/spreadsheetml/2017/richdata2" ref="A7:D64">
    <sortCondition ref="D6:D64"/>
  </sortState>
  <tableColumns count="4">
    <tableColumn id="1" xr3:uid="{63DB7896-40E9-4DA6-8A61-AC9C38025C2F}" uniqueName="1" name="DATA DA VENDA" queryTableFieldId="1"/>
    <tableColumn id="2" xr3:uid="{A0B8509F-72FF-479B-BBA2-67C24701943D}" uniqueName="2" name="STATUS" queryTableFieldId="2"/>
    <tableColumn id="3" xr3:uid="{8EAAF29C-F3CC-4AEC-9EFA-93EF94F22758}" uniqueName="3" name="VALOR BRUTO" queryTableFieldId="3"/>
    <tableColumn id="4" xr3:uid="{AE5FFD7F-75E7-4C9F-BC27-78C6B2D9C309}" uniqueName="4" name="TIPO VENDA" queryTableField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_Sipag_2" displayName="Tabela_Sipag_2" ref="A6:C505" tableType="queryTable" totalsRowShown="0">
  <autoFilter ref="A6:C505" xr:uid="{00000000-000C-0000-FFFF-FFFF01000000}"/>
  <tableColumns count="3">
    <tableColumn id="1" xr3:uid="{98E156CA-F0AE-45C8-B449-6B2220E9BDE3}" uniqueName="1" name="DATA DA VENDA" queryTableFieldId="1"/>
    <tableColumn id="2" xr3:uid="{7F9D7CB0-5436-46EE-843C-0E90A822CC96}" uniqueName="2" name="Forma de Pagamento" queryTableFieldId="2"/>
    <tableColumn id="3" xr3:uid="{8E814551-750C-4A22-9CA8-76D3B619BED3}" uniqueName="3" name="Total plano de venda" queryTableFieldId="3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ela_7Pay" displayName="Tabela_7Pay" ref="A1:S501" totalsRowShown="0">
  <autoFilter ref="A1:S501" xr:uid="{00000000-0009-0000-0100-000001000000}"/>
  <tableColumns count="19">
    <tableColumn id="1" xr3:uid="{00000000-0010-0000-0200-000001000000}" name="ID"/>
    <tableColumn id="2" xr3:uid="{00000000-0010-0000-0200-000002000000}" name="ID TRANSAÇÃO ZOOP"/>
    <tableColumn id="3" xr3:uid="{00000000-0010-0000-0200-000003000000}" name="DATA DA VENDA" dataDxfId="5"/>
    <tableColumn id="4" xr3:uid="{00000000-0010-0000-0200-000004000000}" name="ID SELLER ZOOP"/>
    <tableColumn id="5" xr3:uid="{00000000-0010-0000-0200-000005000000}" name="CPF / CNPJ"/>
    <tableColumn id="6" xr3:uid="{00000000-0010-0000-0200-000006000000}" name="DESCRIÇÃO EXTRATO"/>
    <tableColumn id="7" xr3:uid="{00000000-0010-0000-0200-000007000000}" name="STATUS"/>
    <tableColumn id="8" xr3:uid="{00000000-0010-0000-0200-000008000000}" name="VALOR BRUTO"/>
    <tableColumn id="9" xr3:uid="{00000000-0010-0000-0200-000009000000}" name="VALOR LIQUIDO"/>
    <tableColumn id="10" xr3:uid="{00000000-0010-0000-0200-00000A000000}" name="VALOR TAXA"/>
    <tableColumn id="11" xr3:uid="{00000000-0010-0000-0200-00000B000000}" name="TIPO VENDA"/>
    <tableColumn id="12" xr3:uid="{00000000-0010-0000-0200-00000C000000}" name="PORTADOR CARTAO"/>
    <tableColumn id="13" xr3:uid="{00000000-0010-0000-0200-00000D000000}" name="BANDEIRA CARTAO"/>
    <tableColumn id="14" xr3:uid="{00000000-0010-0000-0200-00000E000000}" name="MODO CAPTURA"/>
    <tableColumn id="15" xr3:uid="{00000000-0010-0000-0200-00000F000000}" name="VALIDADE DO CARTAO"/>
    <tableColumn id="16" xr3:uid="{00000000-0010-0000-0200-000010000000}" name="ULTIMOS 4 DIGITOS DO CARTÃO"/>
    <tableColumn id="17" xr3:uid="{00000000-0010-0000-0200-000011000000}" name="NUMERO PARCELAS"/>
    <tableColumn id="18" xr3:uid="{00000000-0010-0000-0200-000012000000}" name="NOME EMPRESA"/>
    <tableColumn id="19" xr3:uid="{00000000-0010-0000-0200-000013000000}" name="NUMERO IDENTIFICADOR ENTRADA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_Sipag" displayName="Tabela_Sipag" ref="A1:C501" totalsRowShown="0" headerRowCellStyle="Normal 2">
  <autoFilter ref="A1:C501" xr:uid="{00000000-0009-0000-0100-000002000000}"/>
  <tableColumns count="3">
    <tableColumn id="1" xr3:uid="{00000000-0010-0000-0300-000001000000}" name="Data da transação" dataDxfId="4" dataCellStyle="Normal 2"/>
    <tableColumn id="2" xr3:uid="{00000000-0010-0000-0300-000002000000}" name="Forma de Pagamento" dataCellStyle="Normal 2"/>
    <tableColumn id="3" xr3:uid="{00000000-0010-0000-0300-000003000000}" name="Total plano de venda" dataDxfId="3" dataCellStyle="Normal 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Filtro_Periodo" displayName="Filtro_Periodo" ref="A1:B3" totalsRowShown="0">
  <autoFilter ref="A1:B3" xr:uid="{00000000-0009-0000-0100-000007000000}"/>
  <tableColumns count="2">
    <tableColumn id="1" xr3:uid="{00000000-0010-0000-0400-000001000000}" name="Coluna1"/>
    <tableColumn id="2" xr3:uid="{00000000-0010-0000-0400-000002000000}" name="Coluna2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42"/>
  <sheetViews>
    <sheetView tabSelected="1" zoomScale="57" zoomScaleNormal="57" workbookViewId="0">
      <selection activeCell="D22" sqref="D22:E24"/>
    </sheetView>
  </sheetViews>
  <sheetFormatPr defaultRowHeight="15" x14ac:dyDescent="0.25"/>
  <cols>
    <col min="1" max="2" width="9.140625" style="15"/>
    <col min="3" max="3" width="14.140625" style="15" customWidth="1"/>
    <col min="4" max="4" width="9.140625" style="15"/>
    <col min="5" max="5" width="20.42578125" style="15" customWidth="1"/>
    <col min="6" max="6" width="10.28515625" style="15" customWidth="1"/>
    <col min="7" max="7" width="19.7109375" style="15" customWidth="1"/>
    <col min="8" max="8" width="13.42578125" style="15" customWidth="1"/>
    <col min="9" max="9" width="15.5703125" style="15" customWidth="1"/>
    <col min="10" max="10" width="2.85546875" style="15" customWidth="1"/>
    <col min="11" max="15" width="9.140625" style="15"/>
    <col min="16" max="16" width="27" style="15" customWidth="1"/>
    <col min="17" max="17" width="25.140625" style="15" customWidth="1"/>
    <col min="18" max="18" width="7.85546875" style="15" customWidth="1"/>
    <col min="19" max="19" width="8.7109375" style="15" customWidth="1"/>
    <col min="20" max="20" width="6.85546875" style="15" customWidth="1"/>
    <col min="21" max="21" width="9.140625" style="15" customWidth="1"/>
    <col min="22" max="22" width="2.140625" style="15" customWidth="1"/>
    <col min="23" max="16384" width="9.140625" style="15"/>
  </cols>
  <sheetData>
    <row r="1" spans="2:38" ht="15" customHeight="1" x14ac:dyDescent="0.25"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pans="2:38" ht="15" customHeight="1" x14ac:dyDescent="0.25">
      <c r="B2" s="69" t="s">
        <v>52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38"/>
    </row>
    <row r="3" spans="2:38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38"/>
    </row>
    <row r="4" spans="2:38" ht="15" customHeight="1" x14ac:dyDescent="0.25"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38"/>
    </row>
    <row r="5" spans="2:38" ht="15" customHeight="1" x14ac:dyDescent="0.25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38"/>
    </row>
    <row r="6" spans="2:38" ht="15" customHeight="1" x14ac:dyDescent="0.25"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38"/>
    </row>
    <row r="7" spans="2:38" ht="15" customHeight="1" x14ac:dyDescent="0.25"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38"/>
    </row>
    <row r="8" spans="2:38" ht="46.5" customHeight="1" x14ac:dyDescent="0.25"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2:38" ht="15" customHeight="1" x14ac:dyDescent="0.25">
      <c r="B9" s="23"/>
      <c r="C9" s="24"/>
      <c r="D9" s="24"/>
      <c r="E9" s="24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  <c r="R9" s="16"/>
      <c r="S9" s="37"/>
      <c r="T9" s="33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5"/>
      <c r="AK9" s="26"/>
    </row>
    <row r="10" spans="2:38" ht="15" customHeight="1" x14ac:dyDescent="0.25">
      <c r="B10" s="35"/>
      <c r="C10" s="17"/>
      <c r="D10" s="56" t="s">
        <v>48</v>
      </c>
      <c r="E10" s="56"/>
      <c r="F10" s="56" t="s">
        <v>53</v>
      </c>
      <c r="G10" s="56"/>
      <c r="H10" s="56" t="s">
        <v>47</v>
      </c>
      <c r="I10" s="56"/>
      <c r="J10" s="17"/>
      <c r="Q10" s="28"/>
      <c r="S10" s="27"/>
      <c r="T10" s="56" t="s">
        <v>63</v>
      </c>
      <c r="U10" s="56"/>
      <c r="V10" s="56"/>
      <c r="W10" s="56"/>
      <c r="X10" s="56"/>
      <c r="Y10" s="56"/>
      <c r="Z10" s="56"/>
      <c r="AK10" s="28"/>
    </row>
    <row r="11" spans="2:38" ht="15" customHeight="1" x14ac:dyDescent="0.25">
      <c r="B11" s="35"/>
      <c r="C11" s="17"/>
      <c r="D11" s="56"/>
      <c r="E11" s="56"/>
      <c r="F11" s="56"/>
      <c r="G11" s="56"/>
      <c r="H11" s="56"/>
      <c r="I11" s="56"/>
      <c r="J11" s="17"/>
      <c r="Q11" s="28"/>
      <c r="S11" s="27"/>
      <c r="T11" s="56"/>
      <c r="U11" s="56"/>
      <c r="V11" s="56"/>
      <c r="W11" s="56"/>
      <c r="X11" s="56"/>
      <c r="Y11" s="56"/>
      <c r="Z11" s="56"/>
      <c r="AK11" s="28"/>
    </row>
    <row r="12" spans="2:38" ht="15" customHeight="1" x14ac:dyDescent="0.25">
      <c r="B12" s="35"/>
      <c r="C12" s="17"/>
      <c r="D12" s="56"/>
      <c r="E12" s="56"/>
      <c r="F12" s="56"/>
      <c r="G12" s="56"/>
      <c r="H12" s="56"/>
      <c r="I12" s="56"/>
      <c r="J12" s="17"/>
      <c r="Q12" s="28"/>
      <c r="S12" s="27"/>
      <c r="T12" s="56"/>
      <c r="U12" s="56"/>
      <c r="V12" s="56"/>
      <c r="W12" s="56"/>
      <c r="X12" s="56"/>
      <c r="Y12" s="56"/>
      <c r="Z12" s="56"/>
      <c r="AK12" s="28"/>
    </row>
    <row r="13" spans="2:38" ht="15" customHeight="1" x14ac:dyDescent="0.25">
      <c r="B13" s="55" t="s">
        <v>36</v>
      </c>
      <c r="C13" s="56"/>
      <c r="D13" s="51">
        <v>36580</v>
      </c>
      <c r="E13" s="52"/>
      <c r="F13" s="67">
        <f>IF(IFERROR('Fechamento 7Pay'!C4, 0) + IFERROR('Fechamento Sipag'!C4, 0)=0, "", IFERROR('Fechamento 7Pay'!C4, 0) + IFERROR('Fechamento Sipag'!C4, 0))</f>
        <v>36579.210000000006</v>
      </c>
      <c r="G13" s="51"/>
      <c r="H13" s="67">
        <f>IF(ROUND(SUM(F13)-SUM(D13),2)=0,"",ROUND(SUM(F13)-SUM(D13),2))</f>
        <v>-0.79</v>
      </c>
      <c r="I13" s="51"/>
      <c r="J13" s="17"/>
      <c r="Q13" s="28"/>
      <c r="S13" s="27"/>
      <c r="T13" s="73" t="s">
        <v>36</v>
      </c>
      <c r="U13" s="73"/>
      <c r="V13" s="73"/>
      <c r="W13" s="51">
        <f>IF('Fechamento Sipag'!C4=0, "", 'Fechamento Sipag'!C4)</f>
        <v>25241.880000000005</v>
      </c>
      <c r="X13" s="51"/>
      <c r="Y13" s="51"/>
      <c r="Z13" s="51"/>
      <c r="AJ13" s="18"/>
      <c r="AK13" s="28"/>
    </row>
    <row r="14" spans="2:38" ht="15" customHeight="1" x14ac:dyDescent="0.25">
      <c r="B14" s="55"/>
      <c r="C14" s="56"/>
      <c r="D14" s="51"/>
      <c r="E14" s="52"/>
      <c r="F14" s="67"/>
      <c r="G14" s="51"/>
      <c r="H14" s="67"/>
      <c r="I14" s="51"/>
      <c r="J14" s="17"/>
      <c r="Q14" s="28"/>
      <c r="S14" s="27"/>
      <c r="T14" s="73"/>
      <c r="U14" s="73"/>
      <c r="V14" s="73"/>
      <c r="W14" s="51"/>
      <c r="X14" s="51"/>
      <c r="Y14" s="51"/>
      <c r="Z14" s="51"/>
      <c r="AJ14" s="18"/>
      <c r="AK14" s="28"/>
    </row>
    <row r="15" spans="2:38" ht="15" customHeight="1" x14ac:dyDescent="0.25">
      <c r="B15" s="55"/>
      <c r="C15" s="56"/>
      <c r="D15" s="51"/>
      <c r="E15" s="52"/>
      <c r="F15" s="67"/>
      <c r="G15" s="51"/>
      <c r="H15" s="68"/>
      <c r="I15" s="53"/>
      <c r="J15" s="17"/>
      <c r="Q15" s="28"/>
      <c r="S15" s="27"/>
      <c r="T15" s="73"/>
      <c r="U15" s="73"/>
      <c r="V15" s="73"/>
      <c r="W15" s="51"/>
      <c r="X15" s="51"/>
      <c r="Y15" s="51"/>
      <c r="Z15" s="51"/>
      <c r="AJ15" s="18"/>
      <c r="AK15" s="28"/>
    </row>
    <row r="16" spans="2:38" ht="15" customHeight="1" x14ac:dyDescent="0.25">
      <c r="B16" s="55" t="s">
        <v>32</v>
      </c>
      <c r="C16" s="56"/>
      <c r="D16" s="49">
        <v>140330</v>
      </c>
      <c r="E16" s="50"/>
      <c r="F16" s="66">
        <f>IF(IFERROR('Fechamento 7Pay'!C2, 0) + IFERROR('Fechamento Sipag'!C2, 0)=0, "", IFERROR('Fechamento 7Pay'!C2, 0) + IFERROR('Fechamento Sipag'!C2, 0))</f>
        <v>140331.59000000003</v>
      </c>
      <c r="G16" s="50"/>
      <c r="H16" s="51">
        <f>IF(ROUND(SUM(F16)-SUM(D16),2)=0,"",ROUND(SUM(F16)-SUM(D16),2))</f>
        <v>1.59</v>
      </c>
      <c r="I16" s="51"/>
      <c r="J16" s="17"/>
      <c r="Q16" s="28"/>
      <c r="S16" s="27"/>
      <c r="T16" s="73" t="s">
        <v>32</v>
      </c>
      <c r="U16" s="73"/>
      <c r="V16" s="73"/>
      <c r="W16" s="49">
        <f>IF('Fechamento Sipag'!C2=0, "", 'Fechamento Sipag'!C2)</f>
        <v>74496.14999999998</v>
      </c>
      <c r="X16" s="49"/>
      <c r="Y16" s="49"/>
      <c r="Z16" s="49"/>
      <c r="AJ16" s="18"/>
      <c r="AK16" s="28"/>
    </row>
    <row r="17" spans="2:37" ht="15" customHeight="1" x14ac:dyDescent="0.25">
      <c r="B17" s="55"/>
      <c r="C17" s="56"/>
      <c r="D17" s="51"/>
      <c r="E17" s="52"/>
      <c r="F17" s="67"/>
      <c r="G17" s="52"/>
      <c r="H17" s="51"/>
      <c r="I17" s="51"/>
      <c r="J17" s="17"/>
      <c r="Q17" s="28"/>
      <c r="S17" s="27"/>
      <c r="T17" s="73"/>
      <c r="U17" s="73"/>
      <c r="V17" s="73"/>
      <c r="W17" s="51"/>
      <c r="X17" s="51"/>
      <c r="Y17" s="51"/>
      <c r="Z17" s="51"/>
      <c r="AJ17" s="18"/>
      <c r="AK17" s="28"/>
    </row>
    <row r="18" spans="2:37" ht="15" customHeight="1" x14ac:dyDescent="0.25">
      <c r="B18" s="55"/>
      <c r="C18" s="56"/>
      <c r="D18" s="51"/>
      <c r="E18" s="52"/>
      <c r="F18" s="67"/>
      <c r="G18" s="52"/>
      <c r="H18" s="53"/>
      <c r="I18" s="53"/>
      <c r="J18" s="17"/>
      <c r="Q18" s="28"/>
      <c r="S18" s="27"/>
      <c r="T18" s="73"/>
      <c r="U18" s="73"/>
      <c r="V18" s="73"/>
      <c r="W18" s="53"/>
      <c r="X18" s="53"/>
      <c r="Y18" s="53"/>
      <c r="Z18" s="53"/>
      <c r="AJ18" s="18"/>
      <c r="AK18" s="28"/>
    </row>
    <row r="19" spans="2:37" x14ac:dyDescent="0.25">
      <c r="B19" s="55" t="s">
        <v>31</v>
      </c>
      <c r="C19" s="56"/>
      <c r="D19" s="49">
        <v>90565</v>
      </c>
      <c r="E19" s="50"/>
      <c r="F19" s="66">
        <f>IF(IFERROR('Fechamento 7Pay'!C3, 0) + IFERROR('Fechamento Sipag'!C3, 0)=0, "", IFERROR('Fechamento 7Pay'!C3, 0) + IFERROR('Fechamento Sipag'!C3, 0))</f>
        <v>90564.640000000014</v>
      </c>
      <c r="G19" s="50"/>
      <c r="H19" s="49">
        <f>IF(ROUND(SUM(F19)-SUM(D19),2)=0,"",ROUND(SUM(F19)-SUM(D19),2))</f>
        <v>-0.36</v>
      </c>
      <c r="I19" s="49"/>
      <c r="J19" s="17"/>
      <c r="Q19" s="28"/>
      <c r="S19" s="27"/>
      <c r="T19" s="73" t="s">
        <v>31</v>
      </c>
      <c r="U19" s="73"/>
      <c r="V19" s="73"/>
      <c r="W19" s="49">
        <f>IF('Fechamento Sipag'!C3=0, "", 'Fechamento Sipag'!C3)</f>
        <v>42402.670000000013</v>
      </c>
      <c r="X19" s="49"/>
      <c r="Y19" s="49"/>
      <c r="Z19" s="49"/>
      <c r="AJ19" s="18"/>
      <c r="AK19" s="28"/>
    </row>
    <row r="20" spans="2:37" x14ac:dyDescent="0.25">
      <c r="B20" s="55"/>
      <c r="C20" s="56"/>
      <c r="D20" s="51"/>
      <c r="E20" s="52"/>
      <c r="F20" s="67"/>
      <c r="G20" s="52"/>
      <c r="H20" s="51"/>
      <c r="I20" s="51"/>
      <c r="J20" s="17"/>
      <c r="Q20" s="28"/>
      <c r="S20" s="27"/>
      <c r="T20" s="73"/>
      <c r="U20" s="73"/>
      <c r="V20" s="73"/>
      <c r="W20" s="51"/>
      <c r="X20" s="51"/>
      <c r="Y20" s="51"/>
      <c r="Z20" s="51"/>
      <c r="AJ20" s="18"/>
      <c r="AK20" s="28"/>
    </row>
    <row r="21" spans="2:37" x14ac:dyDescent="0.25">
      <c r="B21" s="55"/>
      <c r="C21" s="56"/>
      <c r="D21" s="53"/>
      <c r="E21" s="54"/>
      <c r="F21" s="68"/>
      <c r="G21" s="54"/>
      <c r="H21" s="53"/>
      <c r="I21" s="53"/>
      <c r="J21" s="17"/>
      <c r="Q21" s="28"/>
      <c r="S21" s="27"/>
      <c r="T21" s="73"/>
      <c r="U21" s="73"/>
      <c r="V21" s="73"/>
      <c r="W21" s="53"/>
      <c r="X21" s="53"/>
      <c r="Y21" s="53"/>
      <c r="Z21" s="53"/>
      <c r="AJ21" s="18"/>
      <c r="AK21" s="28"/>
    </row>
    <row r="22" spans="2:37" ht="15" customHeight="1" x14ac:dyDescent="0.25">
      <c r="B22" s="55" t="s">
        <v>50</v>
      </c>
      <c r="C22" s="56"/>
      <c r="D22" s="49">
        <v>10250</v>
      </c>
      <c r="E22" s="50"/>
      <c r="F22" s="66">
        <v>10248</v>
      </c>
      <c r="G22" s="50"/>
      <c r="H22" s="49">
        <f>IF(ROUND(SUM(F22)-SUM(D22),2)=0,"",ROUND(SUM(F22)-SUM(D22),2))</f>
        <v>-2</v>
      </c>
      <c r="I22" s="49"/>
      <c r="J22" s="17"/>
      <c r="Q22" s="28"/>
      <c r="S22" s="27"/>
      <c r="T22" s="73" t="s">
        <v>49</v>
      </c>
      <c r="U22" s="73"/>
      <c r="V22" s="73"/>
      <c r="W22" s="70">
        <f>IF('Fechamento Sipag'!C5=0, "", 'Fechamento Sipag'!C5)</f>
        <v>142140.70000000001</v>
      </c>
      <c r="X22" s="70"/>
      <c r="Y22" s="70"/>
      <c r="Z22" s="70"/>
      <c r="AJ22" s="18"/>
      <c r="AK22" s="28"/>
    </row>
    <row r="23" spans="2:37" ht="15" customHeight="1" x14ac:dyDescent="0.25">
      <c r="B23" s="55"/>
      <c r="C23" s="56"/>
      <c r="D23" s="51"/>
      <c r="E23" s="52"/>
      <c r="F23" s="67"/>
      <c r="G23" s="52"/>
      <c r="H23" s="51"/>
      <c r="I23" s="51"/>
      <c r="J23" s="17"/>
      <c r="Q23" s="28"/>
      <c r="S23" s="27"/>
      <c r="T23" s="73"/>
      <c r="U23" s="73"/>
      <c r="V23" s="73"/>
      <c r="W23" s="70"/>
      <c r="X23" s="70"/>
      <c r="Y23" s="70"/>
      <c r="Z23" s="70"/>
      <c r="AJ23" s="18"/>
      <c r="AK23" s="28"/>
    </row>
    <row r="24" spans="2:37" ht="15" customHeight="1" x14ac:dyDescent="0.25">
      <c r="B24" s="55"/>
      <c r="C24" s="56"/>
      <c r="D24" s="51"/>
      <c r="E24" s="52"/>
      <c r="F24" s="67"/>
      <c r="G24" s="52"/>
      <c r="H24" s="53"/>
      <c r="I24" s="53"/>
      <c r="J24" s="17"/>
      <c r="Q24" s="28"/>
      <c r="S24" s="27"/>
      <c r="T24" s="73"/>
      <c r="U24" s="73"/>
      <c r="V24" s="73"/>
      <c r="W24" s="70"/>
      <c r="X24" s="70"/>
      <c r="Y24" s="70"/>
      <c r="Z24" s="70"/>
      <c r="AJ24" s="18"/>
      <c r="AK24" s="28"/>
    </row>
    <row r="25" spans="2:37" ht="15" customHeight="1" x14ac:dyDescent="0.25">
      <c r="B25" s="55" t="s">
        <v>51</v>
      </c>
      <c r="C25" s="56"/>
      <c r="D25" s="49">
        <v>6850</v>
      </c>
      <c r="E25" s="50"/>
      <c r="F25" s="66">
        <v>6850</v>
      </c>
      <c r="G25" s="50"/>
      <c r="H25" s="49" t="str">
        <f>IF(ROUND(SUM(F25)-SUM(D25),2)=0,"",ROUND(SUM(F25)-SUM(D25),2))</f>
        <v/>
      </c>
      <c r="I25" s="49"/>
      <c r="J25" s="17"/>
      <c r="Q25" s="28"/>
      <c r="S25" s="27"/>
      <c r="T25" s="19"/>
      <c r="U25" s="19"/>
      <c r="V25" s="19"/>
      <c r="W25" s="20"/>
      <c r="X25" s="20"/>
      <c r="Y25" s="20"/>
      <c r="Z25" s="20"/>
      <c r="AJ25" s="18"/>
      <c r="AK25" s="28"/>
    </row>
    <row r="26" spans="2:37" ht="15" customHeight="1" x14ac:dyDescent="0.25">
      <c r="B26" s="55"/>
      <c r="C26" s="56"/>
      <c r="D26" s="51"/>
      <c r="E26" s="52"/>
      <c r="F26" s="67"/>
      <c r="G26" s="52"/>
      <c r="H26" s="51"/>
      <c r="I26" s="51"/>
      <c r="J26" s="17"/>
      <c r="Q26" s="28"/>
      <c r="S26" s="27"/>
      <c r="T26" s="56" t="s">
        <v>65</v>
      </c>
      <c r="U26" s="56"/>
      <c r="V26" s="56"/>
      <c r="W26" s="56"/>
      <c r="X26" s="56"/>
      <c r="Y26" s="56"/>
      <c r="Z26" s="56"/>
      <c r="AJ26" s="18"/>
      <c r="AK26" s="28"/>
    </row>
    <row r="27" spans="2:37" ht="15" customHeight="1" x14ac:dyDescent="0.25">
      <c r="B27" s="55"/>
      <c r="C27" s="56"/>
      <c r="D27" s="53"/>
      <c r="E27" s="54"/>
      <c r="F27" s="68"/>
      <c r="G27" s="54"/>
      <c r="H27" s="51"/>
      <c r="I27" s="51"/>
      <c r="J27" s="17"/>
      <c r="Q27" s="28"/>
      <c r="S27" s="27"/>
      <c r="T27" s="56"/>
      <c r="U27" s="56"/>
      <c r="V27" s="56"/>
      <c r="W27" s="56"/>
      <c r="X27" s="56"/>
      <c r="Y27" s="56"/>
      <c r="Z27" s="56"/>
      <c r="AJ27" s="18"/>
      <c r="AK27" s="28"/>
    </row>
    <row r="28" spans="2:37" ht="15" customHeight="1" x14ac:dyDescent="0.25">
      <c r="B28" s="55" t="s">
        <v>49</v>
      </c>
      <c r="C28" s="56"/>
      <c r="D28" s="70">
        <f>IF(SUM(D13:E27)=0,"",SUM(D13:E27))</f>
        <v>284575</v>
      </c>
      <c r="E28" s="71"/>
      <c r="F28" s="72">
        <f>IF(SUM(F13:G27)=0,"",SUM(F13:G27))</f>
        <v>284573.44000000006</v>
      </c>
      <c r="G28" s="70"/>
      <c r="H28" s="66">
        <f>IF(ROUND(SUM(F28)-SUM(D28),2)=0,"",ROUND(SUM(F28)-SUM(D28),2))</f>
        <v>-1.56</v>
      </c>
      <c r="I28" s="49"/>
      <c r="J28" s="17"/>
      <c r="Q28" s="28"/>
      <c r="S28" s="27"/>
      <c r="T28" s="56"/>
      <c r="U28" s="56"/>
      <c r="V28" s="56"/>
      <c r="W28" s="56"/>
      <c r="X28" s="56"/>
      <c r="Y28" s="56"/>
      <c r="Z28" s="56"/>
      <c r="AJ28" s="18"/>
      <c r="AK28" s="28"/>
    </row>
    <row r="29" spans="2:37" ht="15" customHeight="1" x14ac:dyDescent="0.25">
      <c r="B29" s="55"/>
      <c r="C29" s="56"/>
      <c r="D29" s="70"/>
      <c r="E29" s="71"/>
      <c r="F29" s="72"/>
      <c r="G29" s="70"/>
      <c r="H29" s="67"/>
      <c r="I29" s="51"/>
      <c r="J29" s="17"/>
      <c r="Q29" s="28"/>
      <c r="S29" s="27"/>
      <c r="T29" s="73" t="s">
        <v>36</v>
      </c>
      <c r="U29" s="73"/>
      <c r="V29" s="73"/>
      <c r="W29" s="51">
        <f>IF('Fechamento 7Pay'!C4=0, "", 'Fechamento 7Pay'!C4)</f>
        <v>11337.330000000002</v>
      </c>
      <c r="X29" s="51"/>
      <c r="Y29" s="51"/>
      <c r="Z29" s="51"/>
      <c r="AJ29" s="18"/>
      <c r="AK29" s="28"/>
    </row>
    <row r="30" spans="2:37" ht="15" customHeight="1" x14ac:dyDescent="0.25">
      <c r="B30" s="55"/>
      <c r="C30" s="56"/>
      <c r="D30" s="70"/>
      <c r="E30" s="71"/>
      <c r="F30" s="72"/>
      <c r="G30" s="70"/>
      <c r="H30" s="67"/>
      <c r="I30" s="51"/>
      <c r="J30" s="17"/>
      <c r="Q30" s="28"/>
      <c r="S30" s="27"/>
      <c r="T30" s="73"/>
      <c r="U30" s="73"/>
      <c r="V30" s="73"/>
      <c r="W30" s="51"/>
      <c r="X30" s="51"/>
      <c r="Y30" s="51"/>
      <c r="Z30" s="51"/>
      <c r="AJ30" s="18"/>
      <c r="AK30" s="28"/>
    </row>
    <row r="31" spans="2:37" ht="15.75" customHeight="1" x14ac:dyDescent="0.35">
      <c r="B31" s="36"/>
      <c r="C31" s="21"/>
      <c r="D31" s="17"/>
      <c r="E31" s="17"/>
      <c r="F31" s="17"/>
      <c r="G31" s="17"/>
      <c r="H31" s="17"/>
      <c r="I31" s="17"/>
      <c r="J31" s="17"/>
      <c r="Q31" s="28"/>
      <c r="S31" s="27"/>
      <c r="T31" s="73"/>
      <c r="U31" s="73"/>
      <c r="V31" s="73"/>
      <c r="W31" s="51"/>
      <c r="X31" s="51"/>
      <c r="Y31" s="51"/>
      <c r="Z31" s="51"/>
      <c r="AJ31" s="18"/>
      <c r="AK31" s="28"/>
    </row>
    <row r="32" spans="2:37" ht="15" customHeight="1" x14ac:dyDescent="0.25">
      <c r="B32" s="55" t="s">
        <v>54</v>
      </c>
      <c r="C32" s="56"/>
      <c r="D32" s="44">
        <f>IFERROR(D28/D35,"")</f>
        <v>1226.6163793103449</v>
      </c>
      <c r="E32" s="44"/>
      <c r="F32" s="57"/>
      <c r="G32" s="58" t="s">
        <v>59</v>
      </c>
      <c r="H32" s="59"/>
      <c r="I32" s="59"/>
      <c r="J32" s="17"/>
      <c r="Q32" s="28"/>
      <c r="S32" s="27"/>
      <c r="T32" s="73" t="s">
        <v>32</v>
      </c>
      <c r="U32" s="73"/>
      <c r="V32" s="73"/>
      <c r="W32" s="49">
        <f>IF('Fechamento 7Pay'!C2=0, "", 'Fechamento 7Pay'!C2)</f>
        <v>65835.440000000046</v>
      </c>
      <c r="X32" s="49"/>
      <c r="Y32" s="49"/>
      <c r="Z32" s="49"/>
      <c r="AJ32" s="18"/>
      <c r="AK32" s="28"/>
    </row>
    <row r="33" spans="2:37" ht="15" customHeight="1" x14ac:dyDescent="0.25">
      <c r="B33" s="55"/>
      <c r="C33" s="56"/>
      <c r="D33" s="44"/>
      <c r="E33" s="44"/>
      <c r="F33" s="57"/>
      <c r="G33" s="59"/>
      <c r="H33" s="59"/>
      <c r="I33" s="59"/>
      <c r="J33" s="17"/>
      <c r="Q33" s="28"/>
      <c r="S33" s="27"/>
      <c r="T33" s="73"/>
      <c r="U33" s="73"/>
      <c r="V33" s="73"/>
      <c r="W33" s="51"/>
      <c r="X33" s="51"/>
      <c r="Y33" s="51"/>
      <c r="Z33" s="51"/>
      <c r="AJ33" s="18"/>
      <c r="AK33" s="28"/>
    </row>
    <row r="34" spans="2:37" ht="15" customHeight="1" x14ac:dyDescent="0.25">
      <c r="B34" s="55"/>
      <c r="C34" s="56"/>
      <c r="D34" s="44"/>
      <c r="E34" s="44"/>
      <c r="F34" s="57"/>
      <c r="G34" s="59"/>
      <c r="H34" s="59"/>
      <c r="I34" s="59"/>
      <c r="J34" s="17"/>
      <c r="Q34" s="28"/>
      <c r="S34" s="27"/>
      <c r="T34" s="73"/>
      <c r="U34" s="73"/>
      <c r="V34" s="73"/>
      <c r="W34" s="53"/>
      <c r="X34" s="53"/>
      <c r="Y34" s="53"/>
      <c r="Z34" s="53"/>
      <c r="AJ34" s="18"/>
      <c r="AK34" s="28"/>
    </row>
    <row r="35" spans="2:37" ht="15" customHeight="1" x14ac:dyDescent="0.25">
      <c r="B35" s="55" t="s">
        <v>55</v>
      </c>
      <c r="C35" s="56"/>
      <c r="D35" s="60">
        <v>232</v>
      </c>
      <c r="E35" s="60"/>
      <c r="F35" s="57"/>
      <c r="G35" s="63">
        <f>IFERROR(H28/D28, "")</f>
        <v>-5.4818589124132479E-6</v>
      </c>
      <c r="H35" s="63"/>
      <c r="I35" s="63"/>
      <c r="J35" s="17"/>
      <c r="Q35" s="28"/>
      <c r="S35" s="27"/>
      <c r="T35" s="73" t="s">
        <v>31</v>
      </c>
      <c r="U35" s="73"/>
      <c r="V35" s="73"/>
      <c r="W35" s="49">
        <f>IF('Fechamento 7Pay'!C3=0, "", 'Fechamento 7Pay'!C3)</f>
        <v>48161.970000000008</v>
      </c>
      <c r="X35" s="49"/>
      <c r="Y35" s="49"/>
      <c r="Z35" s="49"/>
      <c r="AJ35" s="18"/>
      <c r="AK35" s="28"/>
    </row>
    <row r="36" spans="2:37" ht="15" customHeight="1" x14ac:dyDescent="0.25">
      <c r="B36" s="55"/>
      <c r="C36" s="56"/>
      <c r="D36" s="61"/>
      <c r="E36" s="61"/>
      <c r="F36" s="57"/>
      <c r="G36" s="64"/>
      <c r="H36" s="64"/>
      <c r="I36" s="64"/>
      <c r="J36" s="17"/>
      <c r="Q36" s="28"/>
      <c r="S36" s="27"/>
      <c r="T36" s="73"/>
      <c r="U36" s="73"/>
      <c r="V36" s="73"/>
      <c r="W36" s="51"/>
      <c r="X36" s="51"/>
      <c r="Y36" s="51"/>
      <c r="Z36" s="51"/>
      <c r="AJ36" s="18"/>
      <c r="AK36" s="28"/>
    </row>
    <row r="37" spans="2:37" ht="15" customHeight="1" x14ac:dyDescent="0.25">
      <c r="B37" s="55"/>
      <c r="C37" s="56"/>
      <c r="D37" s="62"/>
      <c r="E37" s="62"/>
      <c r="F37" s="57"/>
      <c r="G37" s="65"/>
      <c r="H37" s="65"/>
      <c r="I37" s="65"/>
      <c r="J37" s="17"/>
      <c r="Q37" s="28"/>
      <c r="S37" s="27"/>
      <c r="T37" s="73"/>
      <c r="U37" s="73"/>
      <c r="V37" s="73"/>
      <c r="W37" s="53"/>
      <c r="X37" s="53"/>
      <c r="Y37" s="53"/>
      <c r="Z37" s="53"/>
      <c r="AJ37" s="18"/>
      <c r="AK37" s="28"/>
    </row>
    <row r="38" spans="2:37" ht="15" customHeight="1" x14ac:dyDescent="0.25">
      <c r="B38" s="39" t="s">
        <v>66</v>
      </c>
      <c r="C38" s="40"/>
      <c r="D38" s="43">
        <v>2020</v>
      </c>
      <c r="E38" s="43"/>
      <c r="F38" s="57"/>
      <c r="G38" s="46">
        <f>Configuração!B2</f>
        <v>46212.333333333336</v>
      </c>
      <c r="H38" s="46"/>
      <c r="I38" s="46"/>
      <c r="J38" s="17"/>
      <c r="Q38" s="28"/>
      <c r="S38" s="27"/>
      <c r="T38" s="73" t="s">
        <v>49</v>
      </c>
      <c r="U38" s="73"/>
      <c r="V38" s="73"/>
      <c r="W38" s="70">
        <f>IF('Fechamento 7Pay'!C5=0, "", 'Fechamento 7Pay'!C5)</f>
        <v>125334.74000000006</v>
      </c>
      <c r="X38" s="70"/>
      <c r="Y38" s="70"/>
      <c r="Z38" s="70"/>
      <c r="AJ38" s="18"/>
      <c r="AK38" s="28"/>
    </row>
    <row r="39" spans="2:37" ht="15" customHeight="1" x14ac:dyDescent="0.25">
      <c r="B39" s="39"/>
      <c r="C39" s="40"/>
      <c r="D39" s="44"/>
      <c r="E39" s="44"/>
      <c r="F39" s="57"/>
      <c r="G39" s="47"/>
      <c r="H39" s="47"/>
      <c r="I39" s="47"/>
      <c r="J39" s="17"/>
      <c r="Q39" s="28"/>
      <c r="S39" s="27"/>
      <c r="T39" s="73"/>
      <c r="U39" s="73"/>
      <c r="V39" s="73"/>
      <c r="W39" s="70"/>
      <c r="X39" s="70"/>
      <c r="Y39" s="70"/>
      <c r="Z39" s="70"/>
      <c r="AJ39" s="18"/>
      <c r="AK39" s="28"/>
    </row>
    <row r="40" spans="2:37" ht="15" customHeight="1" x14ac:dyDescent="0.25">
      <c r="B40" s="39"/>
      <c r="C40" s="40"/>
      <c r="D40" s="44"/>
      <c r="E40" s="44"/>
      <c r="F40" s="57"/>
      <c r="G40" s="47"/>
      <c r="H40" s="47"/>
      <c r="I40" s="47"/>
      <c r="J40" s="17"/>
      <c r="Q40" s="28"/>
      <c r="S40" s="27"/>
      <c r="T40" s="73"/>
      <c r="U40" s="73"/>
      <c r="V40" s="73"/>
      <c r="W40" s="70"/>
      <c r="X40" s="70"/>
      <c r="Y40" s="70"/>
      <c r="Z40" s="70"/>
      <c r="AJ40" s="18"/>
      <c r="AK40" s="28"/>
    </row>
    <row r="41" spans="2:37" x14ac:dyDescent="0.25">
      <c r="B41" s="39"/>
      <c r="C41" s="40"/>
      <c r="D41" s="44"/>
      <c r="E41" s="44"/>
      <c r="F41" s="17"/>
      <c r="G41" s="47"/>
      <c r="H41" s="47"/>
      <c r="I41" s="47"/>
      <c r="J41" s="17"/>
      <c r="Q41" s="28"/>
      <c r="S41" s="27"/>
      <c r="AJ41" s="18"/>
      <c r="AK41" s="28"/>
    </row>
    <row r="42" spans="2:37" x14ac:dyDescent="0.25">
      <c r="B42" s="41"/>
      <c r="C42" s="42"/>
      <c r="D42" s="45"/>
      <c r="E42" s="45"/>
      <c r="F42" s="30"/>
      <c r="G42" s="48"/>
      <c r="H42" s="48"/>
      <c r="I42" s="48"/>
      <c r="J42" s="30"/>
      <c r="K42" s="30"/>
      <c r="L42" s="30"/>
      <c r="M42" s="30"/>
      <c r="N42" s="30"/>
      <c r="O42" s="30"/>
      <c r="P42" s="30"/>
      <c r="Q42" s="32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1"/>
      <c r="AK42" s="32"/>
    </row>
  </sheetData>
  <mergeCells count="58">
    <mergeCell ref="W29:Z31"/>
    <mergeCell ref="W32:Z34"/>
    <mergeCell ref="W35:Z37"/>
    <mergeCell ref="W38:Z40"/>
    <mergeCell ref="T13:V15"/>
    <mergeCell ref="T16:V18"/>
    <mergeCell ref="T19:V21"/>
    <mergeCell ref="T22:V24"/>
    <mergeCell ref="W13:Z15"/>
    <mergeCell ref="W16:Z18"/>
    <mergeCell ref="W19:Z21"/>
    <mergeCell ref="W22:Z24"/>
    <mergeCell ref="T29:V31"/>
    <mergeCell ref="T32:V34"/>
    <mergeCell ref="T35:V37"/>
    <mergeCell ref="T38:V40"/>
    <mergeCell ref="T26:Z28"/>
    <mergeCell ref="T10:Z12"/>
    <mergeCell ref="B2:AK7"/>
    <mergeCell ref="H19:I21"/>
    <mergeCell ref="F25:G27"/>
    <mergeCell ref="F22:G24"/>
    <mergeCell ref="F19:G21"/>
    <mergeCell ref="B13:C15"/>
    <mergeCell ref="B16:C18"/>
    <mergeCell ref="B19:C21"/>
    <mergeCell ref="D19:E21"/>
    <mergeCell ref="D28:E30"/>
    <mergeCell ref="F28:G30"/>
    <mergeCell ref="H28:I30"/>
    <mergeCell ref="B25:C27"/>
    <mergeCell ref="D10:E12"/>
    <mergeCell ref="F10:G12"/>
    <mergeCell ref="H10:I12"/>
    <mergeCell ref="D13:E15"/>
    <mergeCell ref="F13:G15"/>
    <mergeCell ref="H13:I15"/>
    <mergeCell ref="D16:E18"/>
    <mergeCell ref="F16:G18"/>
    <mergeCell ref="H16:I18"/>
    <mergeCell ref="B22:C24"/>
    <mergeCell ref="D22:E24"/>
    <mergeCell ref="H22:I24"/>
    <mergeCell ref="B38:C42"/>
    <mergeCell ref="D38:E42"/>
    <mergeCell ref="G38:I42"/>
    <mergeCell ref="D25:E27"/>
    <mergeCell ref="B28:C30"/>
    <mergeCell ref="B32:C34"/>
    <mergeCell ref="F38:F40"/>
    <mergeCell ref="G32:I34"/>
    <mergeCell ref="D32:E34"/>
    <mergeCell ref="F32:F34"/>
    <mergeCell ref="D35:E37"/>
    <mergeCell ref="F35:F37"/>
    <mergeCell ref="B35:C37"/>
    <mergeCell ref="G35:I37"/>
    <mergeCell ref="H25:I2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0"/>
  <sheetViews>
    <sheetView workbookViewId="0">
      <selection activeCell="A6" sqref="A6:D490"/>
    </sheetView>
  </sheetViews>
  <sheetFormatPr defaultRowHeight="15" x14ac:dyDescent="0.25"/>
  <cols>
    <col min="1" max="1" width="18" bestFit="1" customWidth="1"/>
    <col min="2" max="2" width="10" customWidth="1"/>
    <col min="3" max="3" width="16" customWidth="1"/>
    <col min="4" max="4" width="14.140625" customWidth="1"/>
  </cols>
  <sheetData>
    <row r="1" spans="1:4" x14ac:dyDescent="0.25">
      <c r="A1" s="76" t="s">
        <v>37</v>
      </c>
      <c r="B1" s="77"/>
      <c r="C1" s="77"/>
      <c r="D1" s="77"/>
    </row>
    <row r="2" spans="1:4" x14ac:dyDescent="0.25">
      <c r="A2" s="3" t="s">
        <v>40</v>
      </c>
      <c r="B2" s="5"/>
      <c r="C2" s="74">
        <f>SUMIF(Tabela_7Pay_2[TIPO VENDA], "Crédito", Tabela_7Pay_2[VALOR BRUTO])</f>
        <v>65835.440000000046</v>
      </c>
      <c r="D2" s="74"/>
    </row>
    <row r="3" spans="1:4" x14ac:dyDescent="0.25">
      <c r="A3" s="3" t="s">
        <v>41</v>
      </c>
      <c r="B3" s="4"/>
      <c r="C3" s="75">
        <f>SUMIF(Tabela_7Pay_2[TIPO VENDA], "Débito", Tabela_7Pay_2[VALOR BRUTO])</f>
        <v>48161.970000000008</v>
      </c>
      <c r="D3" s="75"/>
    </row>
    <row r="4" spans="1:4" x14ac:dyDescent="0.25">
      <c r="A4" s="3" t="s">
        <v>42</v>
      </c>
      <c r="B4" s="5"/>
      <c r="C4" s="74">
        <f>SUMIF(Tabela_7Pay_2[TIPO VENDA], "Pix", Tabela_7Pay_2[VALOR BRUTO])</f>
        <v>11337.330000000002</v>
      </c>
      <c r="D4" s="74"/>
    </row>
    <row r="5" spans="1:4" x14ac:dyDescent="0.25">
      <c r="A5" s="3" t="s">
        <v>38</v>
      </c>
      <c r="B5" s="4"/>
      <c r="C5" s="75">
        <f>SUM(C2:D4)</f>
        <v>125334.74000000006</v>
      </c>
      <c r="D5" s="75"/>
    </row>
    <row r="6" spans="1:4" x14ac:dyDescent="0.25">
      <c r="A6" t="s">
        <v>4</v>
      </c>
      <c r="B6" t="s">
        <v>11</v>
      </c>
      <c r="C6" t="s">
        <v>8</v>
      </c>
      <c r="D6" t="s">
        <v>7</v>
      </c>
    </row>
    <row r="7" spans="1:4" x14ac:dyDescent="0.25">
      <c r="A7" s="2">
        <v>46212.333634259259</v>
      </c>
      <c r="B7" t="s">
        <v>23</v>
      </c>
      <c r="C7">
        <v>77.069999999999993</v>
      </c>
      <c r="D7" t="s">
        <v>32</v>
      </c>
    </row>
    <row r="8" spans="1:4" x14ac:dyDescent="0.25">
      <c r="A8" s="2">
        <v>46212.333761574075</v>
      </c>
      <c r="B8" t="s">
        <v>23</v>
      </c>
      <c r="C8">
        <v>57.86</v>
      </c>
      <c r="D8" t="s">
        <v>32</v>
      </c>
    </row>
    <row r="9" spans="1:4" x14ac:dyDescent="0.25">
      <c r="A9" s="2">
        <v>46212.334606481483</v>
      </c>
      <c r="B9" t="s">
        <v>23</v>
      </c>
      <c r="C9">
        <v>15.91</v>
      </c>
      <c r="D9" t="s">
        <v>31</v>
      </c>
    </row>
    <row r="10" spans="1:4" x14ac:dyDescent="0.25">
      <c r="A10" s="2">
        <v>46212.334965277776</v>
      </c>
      <c r="B10" t="s">
        <v>23</v>
      </c>
      <c r="C10">
        <v>164.5</v>
      </c>
      <c r="D10" t="s">
        <v>31</v>
      </c>
    </row>
    <row r="11" spans="1:4" x14ac:dyDescent="0.25">
      <c r="A11" s="2">
        <v>46212.335787037038</v>
      </c>
      <c r="B11" t="s">
        <v>23</v>
      </c>
      <c r="C11">
        <v>153.35</v>
      </c>
      <c r="D11" t="s">
        <v>31</v>
      </c>
    </row>
    <row r="12" spans="1:4" x14ac:dyDescent="0.25">
      <c r="A12" s="2">
        <v>46212.336018518516</v>
      </c>
      <c r="B12" t="s">
        <v>23</v>
      </c>
      <c r="C12">
        <v>76.86</v>
      </c>
      <c r="D12" t="s">
        <v>32</v>
      </c>
    </row>
    <row r="13" spans="1:4" x14ac:dyDescent="0.25">
      <c r="A13" s="2">
        <v>46212.337534722225</v>
      </c>
      <c r="B13" t="s">
        <v>23</v>
      </c>
      <c r="C13">
        <v>1051.49</v>
      </c>
      <c r="D13" t="s">
        <v>32</v>
      </c>
    </row>
    <row r="14" spans="1:4" x14ac:dyDescent="0.25">
      <c r="A14" s="2">
        <v>46212.338252314818</v>
      </c>
      <c r="B14" t="s">
        <v>23</v>
      </c>
      <c r="C14">
        <v>170.08</v>
      </c>
      <c r="D14" t="s">
        <v>32</v>
      </c>
    </row>
    <row r="15" spans="1:4" x14ac:dyDescent="0.25">
      <c r="A15" s="2">
        <v>46212.338784722226</v>
      </c>
      <c r="B15" t="s">
        <v>23</v>
      </c>
      <c r="C15">
        <v>153.19999999999999</v>
      </c>
      <c r="D15" t="s">
        <v>31</v>
      </c>
    </row>
    <row r="16" spans="1:4" x14ac:dyDescent="0.25">
      <c r="A16" s="2">
        <v>46212.339259259257</v>
      </c>
      <c r="B16" t="s">
        <v>23</v>
      </c>
      <c r="C16">
        <v>93.58</v>
      </c>
      <c r="D16" t="s">
        <v>31</v>
      </c>
    </row>
    <row r="17" spans="1:4" x14ac:dyDescent="0.25">
      <c r="A17" s="2">
        <v>46212.34039351852</v>
      </c>
      <c r="B17" t="s">
        <v>23</v>
      </c>
      <c r="C17">
        <v>75.16</v>
      </c>
      <c r="D17" t="s">
        <v>32</v>
      </c>
    </row>
    <row r="18" spans="1:4" x14ac:dyDescent="0.25">
      <c r="A18" s="2">
        <v>46212.34065972222</v>
      </c>
      <c r="B18" t="s">
        <v>23</v>
      </c>
      <c r="C18">
        <v>106.41</v>
      </c>
      <c r="D18" t="s">
        <v>31</v>
      </c>
    </row>
    <row r="19" spans="1:4" x14ac:dyDescent="0.25">
      <c r="A19" s="2">
        <v>46212.342037037037</v>
      </c>
      <c r="B19" t="s">
        <v>23</v>
      </c>
      <c r="C19">
        <v>146.15</v>
      </c>
      <c r="D19" t="s">
        <v>32</v>
      </c>
    </row>
    <row r="20" spans="1:4" x14ac:dyDescent="0.25">
      <c r="A20" s="2">
        <v>46212.344525462962</v>
      </c>
      <c r="B20" t="s">
        <v>23</v>
      </c>
      <c r="C20">
        <v>164.04</v>
      </c>
      <c r="D20" t="s">
        <v>32</v>
      </c>
    </row>
    <row r="21" spans="1:4" x14ac:dyDescent="0.25">
      <c r="A21" s="2">
        <v>46212.348101851851</v>
      </c>
      <c r="B21" t="s">
        <v>23</v>
      </c>
      <c r="C21">
        <v>212.79</v>
      </c>
      <c r="D21" t="s">
        <v>32</v>
      </c>
    </row>
    <row r="22" spans="1:4" x14ac:dyDescent="0.25">
      <c r="A22" s="2">
        <v>46212.349282407406</v>
      </c>
      <c r="B22" t="s">
        <v>23</v>
      </c>
      <c r="C22">
        <v>60.94</v>
      </c>
      <c r="D22" t="s">
        <v>32</v>
      </c>
    </row>
    <row r="23" spans="1:4" x14ac:dyDescent="0.25">
      <c r="A23" s="2">
        <v>46212.351273148146</v>
      </c>
      <c r="B23" t="s">
        <v>23</v>
      </c>
      <c r="C23">
        <v>365.01</v>
      </c>
      <c r="D23" t="s">
        <v>31</v>
      </c>
    </row>
    <row r="24" spans="1:4" x14ac:dyDescent="0.25">
      <c r="A24" s="2">
        <v>46212.351851851854</v>
      </c>
      <c r="B24" t="s">
        <v>23</v>
      </c>
      <c r="C24">
        <v>467.84</v>
      </c>
      <c r="D24" t="s">
        <v>31</v>
      </c>
    </row>
    <row r="25" spans="1:4" x14ac:dyDescent="0.25">
      <c r="A25" s="2">
        <v>46212.352129629631</v>
      </c>
      <c r="B25" t="s">
        <v>23</v>
      </c>
      <c r="C25">
        <v>238.71</v>
      </c>
      <c r="D25" t="s">
        <v>31</v>
      </c>
    </row>
    <row r="26" spans="1:4" x14ac:dyDescent="0.25">
      <c r="A26" s="2">
        <v>46212.352303240739</v>
      </c>
      <c r="B26" t="s">
        <v>23</v>
      </c>
      <c r="C26">
        <v>299.58999999999997</v>
      </c>
      <c r="D26" t="s">
        <v>32</v>
      </c>
    </row>
    <row r="27" spans="1:4" x14ac:dyDescent="0.25">
      <c r="A27" s="2">
        <v>46212.353460648148</v>
      </c>
      <c r="B27" t="s">
        <v>23</v>
      </c>
      <c r="C27">
        <v>100.63</v>
      </c>
      <c r="D27" t="s">
        <v>32</v>
      </c>
    </row>
    <row r="28" spans="1:4" x14ac:dyDescent="0.25">
      <c r="A28" s="2">
        <v>46212.354259259257</v>
      </c>
      <c r="B28" t="s">
        <v>23</v>
      </c>
      <c r="C28">
        <v>176.49</v>
      </c>
      <c r="D28" t="s">
        <v>31</v>
      </c>
    </row>
    <row r="29" spans="1:4" x14ac:dyDescent="0.25">
      <c r="A29" s="2">
        <v>46212.355925925927</v>
      </c>
      <c r="B29" t="s">
        <v>23</v>
      </c>
      <c r="C29">
        <v>25.26</v>
      </c>
      <c r="D29" t="s">
        <v>31</v>
      </c>
    </row>
    <row r="30" spans="1:4" x14ac:dyDescent="0.25">
      <c r="A30" s="2">
        <v>46212.357152777775</v>
      </c>
      <c r="B30" t="s">
        <v>23</v>
      </c>
      <c r="C30">
        <v>155.08000000000001</v>
      </c>
      <c r="D30" t="s">
        <v>32</v>
      </c>
    </row>
    <row r="31" spans="1:4" x14ac:dyDescent="0.25">
      <c r="A31" s="2">
        <v>46212.357430555552</v>
      </c>
      <c r="B31" t="s">
        <v>23</v>
      </c>
      <c r="C31">
        <v>163.88</v>
      </c>
      <c r="D31" t="s">
        <v>31</v>
      </c>
    </row>
    <row r="32" spans="1:4" x14ac:dyDescent="0.25">
      <c r="A32" s="2">
        <v>46212.357673611114</v>
      </c>
      <c r="B32" t="s">
        <v>23</v>
      </c>
      <c r="C32">
        <v>31.52</v>
      </c>
      <c r="D32" t="s">
        <v>31</v>
      </c>
    </row>
    <row r="33" spans="1:4" x14ac:dyDescent="0.25">
      <c r="A33" s="2">
        <v>46212.362349537034</v>
      </c>
      <c r="B33" t="s">
        <v>23</v>
      </c>
      <c r="C33">
        <v>743.26</v>
      </c>
      <c r="D33" t="s">
        <v>31</v>
      </c>
    </row>
    <row r="34" spans="1:4" x14ac:dyDescent="0.25">
      <c r="A34" s="2">
        <v>46212.362696759257</v>
      </c>
      <c r="B34" t="s">
        <v>23</v>
      </c>
      <c r="C34">
        <v>218.68</v>
      </c>
      <c r="D34" t="s">
        <v>31</v>
      </c>
    </row>
    <row r="35" spans="1:4" x14ac:dyDescent="0.25">
      <c r="A35" s="2">
        <v>46212.36347222222</v>
      </c>
      <c r="B35" t="s">
        <v>23</v>
      </c>
      <c r="C35">
        <v>89.11</v>
      </c>
      <c r="D35" t="s">
        <v>31</v>
      </c>
    </row>
    <row r="36" spans="1:4" x14ac:dyDescent="0.25">
      <c r="A36" s="2">
        <v>46212.363587962966</v>
      </c>
      <c r="B36" t="s">
        <v>23</v>
      </c>
      <c r="C36">
        <v>282.67</v>
      </c>
      <c r="D36" t="s">
        <v>32</v>
      </c>
    </row>
    <row r="37" spans="1:4" x14ac:dyDescent="0.25">
      <c r="A37" s="2">
        <v>46212.365057870367</v>
      </c>
      <c r="B37" t="s">
        <v>23</v>
      </c>
      <c r="C37">
        <v>294.5</v>
      </c>
      <c r="D37" t="s">
        <v>32</v>
      </c>
    </row>
    <row r="38" spans="1:4" x14ac:dyDescent="0.25">
      <c r="A38" s="2">
        <v>46212.366284722222</v>
      </c>
      <c r="B38" t="s">
        <v>23</v>
      </c>
      <c r="C38">
        <v>228.45</v>
      </c>
      <c r="D38" t="s">
        <v>36</v>
      </c>
    </row>
    <row r="39" spans="1:4" x14ac:dyDescent="0.25">
      <c r="A39" s="2">
        <v>46212.366770833331</v>
      </c>
      <c r="B39" t="s">
        <v>23</v>
      </c>
      <c r="C39">
        <v>138.72999999999999</v>
      </c>
      <c r="D39" t="s">
        <v>32</v>
      </c>
    </row>
    <row r="40" spans="1:4" x14ac:dyDescent="0.25">
      <c r="A40" s="2">
        <v>46212.366990740738</v>
      </c>
      <c r="B40" t="s">
        <v>23</v>
      </c>
      <c r="C40">
        <v>198.37</v>
      </c>
      <c r="D40" t="s">
        <v>31</v>
      </c>
    </row>
    <row r="41" spans="1:4" x14ac:dyDescent="0.25">
      <c r="A41" s="2">
        <v>46212.368090277778</v>
      </c>
      <c r="B41" t="s">
        <v>23</v>
      </c>
      <c r="C41">
        <v>682.62</v>
      </c>
      <c r="D41" t="s">
        <v>31</v>
      </c>
    </row>
    <row r="42" spans="1:4" x14ac:dyDescent="0.25">
      <c r="A42" s="2">
        <v>46212.368379629632</v>
      </c>
      <c r="B42" t="s">
        <v>23</v>
      </c>
      <c r="C42">
        <v>261.77999999999997</v>
      </c>
      <c r="D42" t="s">
        <v>31</v>
      </c>
    </row>
    <row r="43" spans="1:4" x14ac:dyDescent="0.25">
      <c r="A43" s="2">
        <v>46212.369062500002</v>
      </c>
      <c r="B43" t="s">
        <v>23</v>
      </c>
      <c r="C43">
        <v>86.75</v>
      </c>
      <c r="D43" t="s">
        <v>32</v>
      </c>
    </row>
    <row r="44" spans="1:4" x14ac:dyDescent="0.25">
      <c r="A44" s="2">
        <v>46212.371365740742</v>
      </c>
      <c r="B44" t="s">
        <v>23</v>
      </c>
      <c r="C44">
        <v>24.68</v>
      </c>
      <c r="D44" t="s">
        <v>32</v>
      </c>
    </row>
    <row r="45" spans="1:4" x14ac:dyDescent="0.25">
      <c r="A45" s="2">
        <v>46212.371423611112</v>
      </c>
      <c r="B45" t="s">
        <v>23</v>
      </c>
      <c r="C45">
        <v>116.12</v>
      </c>
      <c r="D45" t="s">
        <v>31</v>
      </c>
    </row>
    <row r="46" spans="1:4" x14ac:dyDescent="0.25">
      <c r="A46" s="2">
        <v>46212.371701388889</v>
      </c>
      <c r="B46" t="s">
        <v>23</v>
      </c>
      <c r="C46">
        <v>123.96</v>
      </c>
      <c r="D46" t="s">
        <v>32</v>
      </c>
    </row>
    <row r="47" spans="1:4" x14ac:dyDescent="0.25">
      <c r="A47" s="2">
        <v>46212.371863425928</v>
      </c>
      <c r="B47" t="s">
        <v>23</v>
      </c>
      <c r="C47">
        <v>284.98</v>
      </c>
      <c r="D47" t="s">
        <v>32</v>
      </c>
    </row>
    <row r="48" spans="1:4" x14ac:dyDescent="0.25">
      <c r="A48" s="2">
        <v>46212.374421296299</v>
      </c>
      <c r="B48" t="s">
        <v>23</v>
      </c>
      <c r="C48">
        <v>889.36</v>
      </c>
      <c r="D48" t="s">
        <v>32</v>
      </c>
    </row>
    <row r="49" spans="1:4" x14ac:dyDescent="0.25">
      <c r="A49" s="2">
        <v>46212.375752314816</v>
      </c>
      <c r="B49" t="s">
        <v>23</v>
      </c>
      <c r="C49">
        <v>24.72</v>
      </c>
      <c r="D49" t="s">
        <v>32</v>
      </c>
    </row>
    <row r="50" spans="1:4" x14ac:dyDescent="0.25">
      <c r="A50" s="2">
        <v>46212.376469907409</v>
      </c>
      <c r="B50" t="s">
        <v>23</v>
      </c>
      <c r="C50">
        <v>772.78</v>
      </c>
      <c r="D50" t="s">
        <v>36</v>
      </c>
    </row>
    <row r="51" spans="1:4" x14ac:dyDescent="0.25">
      <c r="A51" s="2">
        <v>46212.376689814817</v>
      </c>
      <c r="B51" t="s">
        <v>23</v>
      </c>
      <c r="C51">
        <v>796.19</v>
      </c>
      <c r="D51" t="s">
        <v>32</v>
      </c>
    </row>
    <row r="52" spans="1:4" x14ac:dyDescent="0.25">
      <c r="A52" s="2">
        <v>46212.377268518518</v>
      </c>
      <c r="B52" t="s">
        <v>23</v>
      </c>
      <c r="C52">
        <v>54.42</v>
      </c>
      <c r="D52" t="s">
        <v>31</v>
      </c>
    </row>
    <row r="53" spans="1:4" x14ac:dyDescent="0.25">
      <c r="A53" s="2">
        <v>46212.377685185187</v>
      </c>
      <c r="B53" t="s">
        <v>23</v>
      </c>
      <c r="C53">
        <v>572.05999999999995</v>
      </c>
      <c r="D53" t="s">
        <v>32</v>
      </c>
    </row>
    <row r="54" spans="1:4" x14ac:dyDescent="0.25">
      <c r="A54" s="2">
        <v>46212.377800925926</v>
      </c>
      <c r="B54" t="s">
        <v>23</v>
      </c>
      <c r="C54">
        <v>166.4</v>
      </c>
      <c r="D54" t="s">
        <v>32</v>
      </c>
    </row>
    <row r="55" spans="1:4" x14ac:dyDescent="0.25">
      <c r="A55" s="2">
        <v>46212.377986111111</v>
      </c>
      <c r="B55" t="s">
        <v>23</v>
      </c>
      <c r="C55">
        <v>446.84</v>
      </c>
      <c r="D55" t="s">
        <v>32</v>
      </c>
    </row>
    <row r="56" spans="1:4" x14ac:dyDescent="0.25">
      <c r="A56" s="2">
        <v>46212.379305555558</v>
      </c>
      <c r="B56" t="s">
        <v>23</v>
      </c>
      <c r="C56">
        <v>53.27</v>
      </c>
      <c r="D56" t="s">
        <v>31</v>
      </c>
    </row>
    <row r="57" spans="1:4" x14ac:dyDescent="0.25">
      <c r="A57" s="2">
        <v>46212.379560185182</v>
      </c>
      <c r="B57" t="s">
        <v>23</v>
      </c>
      <c r="C57">
        <v>287.54000000000002</v>
      </c>
      <c r="D57" t="s">
        <v>32</v>
      </c>
    </row>
    <row r="58" spans="1:4" x14ac:dyDescent="0.25">
      <c r="A58" s="2">
        <v>46212.381516203706</v>
      </c>
      <c r="B58" t="s">
        <v>23</v>
      </c>
      <c r="C58">
        <v>218.8</v>
      </c>
      <c r="D58" t="s">
        <v>32</v>
      </c>
    </row>
    <row r="59" spans="1:4" x14ac:dyDescent="0.25">
      <c r="A59" s="2">
        <v>46212.381898148145</v>
      </c>
      <c r="B59" t="s">
        <v>23</v>
      </c>
      <c r="C59">
        <v>53.8</v>
      </c>
      <c r="D59" t="s">
        <v>32</v>
      </c>
    </row>
    <row r="60" spans="1:4" x14ac:dyDescent="0.25">
      <c r="A60" s="2">
        <v>46212.383530092593</v>
      </c>
      <c r="B60" t="s">
        <v>23</v>
      </c>
      <c r="C60">
        <v>212.2</v>
      </c>
      <c r="D60" t="s">
        <v>36</v>
      </c>
    </row>
    <row r="61" spans="1:4" x14ac:dyDescent="0.25">
      <c r="A61" s="2">
        <v>46212.384456018517</v>
      </c>
      <c r="B61" t="s">
        <v>23</v>
      </c>
      <c r="C61">
        <v>279.33999999999997</v>
      </c>
      <c r="D61" t="s">
        <v>31</v>
      </c>
    </row>
    <row r="62" spans="1:4" x14ac:dyDescent="0.25">
      <c r="A62" s="2">
        <v>46212.384872685187</v>
      </c>
      <c r="B62" t="s">
        <v>23</v>
      </c>
      <c r="C62">
        <v>1194.3599999999999</v>
      </c>
      <c r="D62" t="s">
        <v>32</v>
      </c>
    </row>
    <row r="63" spans="1:4" x14ac:dyDescent="0.25">
      <c r="A63" s="2">
        <v>46212.385300925926</v>
      </c>
      <c r="B63" t="s">
        <v>23</v>
      </c>
      <c r="C63">
        <v>307.39999999999998</v>
      </c>
      <c r="D63" t="s">
        <v>31</v>
      </c>
    </row>
    <row r="64" spans="1:4" x14ac:dyDescent="0.25">
      <c r="A64" s="2">
        <v>46212.385509259257</v>
      </c>
      <c r="B64" t="s">
        <v>23</v>
      </c>
      <c r="C64">
        <v>246.49</v>
      </c>
      <c r="D64" t="s">
        <v>31</v>
      </c>
    </row>
    <row r="65" spans="1:4" x14ac:dyDescent="0.25">
      <c r="A65" s="2">
        <v>46212.385821759257</v>
      </c>
      <c r="B65" t="s">
        <v>23</v>
      </c>
      <c r="C65">
        <v>255.86</v>
      </c>
      <c r="D65" t="s">
        <v>31</v>
      </c>
    </row>
    <row r="66" spans="1:4" x14ac:dyDescent="0.25">
      <c r="A66" s="2">
        <v>46212.385983796295</v>
      </c>
      <c r="B66" t="s">
        <v>23</v>
      </c>
      <c r="C66">
        <v>290.38</v>
      </c>
      <c r="D66" t="s">
        <v>31</v>
      </c>
    </row>
    <row r="67" spans="1:4" x14ac:dyDescent="0.25">
      <c r="A67" s="2">
        <v>46212.386087962965</v>
      </c>
      <c r="B67" t="s">
        <v>23</v>
      </c>
      <c r="C67">
        <v>97.08</v>
      </c>
      <c r="D67" t="s">
        <v>32</v>
      </c>
    </row>
    <row r="68" spans="1:4" x14ac:dyDescent="0.25">
      <c r="A68" s="2">
        <v>46212.386400462965</v>
      </c>
      <c r="B68" t="s">
        <v>23</v>
      </c>
      <c r="C68">
        <v>67.150000000000006</v>
      </c>
      <c r="D68" t="s">
        <v>31</v>
      </c>
    </row>
    <row r="69" spans="1:4" x14ac:dyDescent="0.25">
      <c r="A69" s="2">
        <v>46212.387071759258</v>
      </c>
      <c r="B69" t="s">
        <v>23</v>
      </c>
      <c r="C69">
        <v>1232.95</v>
      </c>
      <c r="D69" t="s">
        <v>31</v>
      </c>
    </row>
    <row r="70" spans="1:4" x14ac:dyDescent="0.25">
      <c r="A70" s="2">
        <v>46212.387175925927</v>
      </c>
      <c r="B70" t="s">
        <v>23</v>
      </c>
      <c r="C70">
        <v>234.78</v>
      </c>
      <c r="D70" t="s">
        <v>32</v>
      </c>
    </row>
    <row r="71" spans="1:4" x14ac:dyDescent="0.25">
      <c r="A71" s="2">
        <v>46212.387488425928</v>
      </c>
      <c r="B71" t="s">
        <v>23</v>
      </c>
      <c r="C71">
        <v>183.09</v>
      </c>
      <c r="D71" t="s">
        <v>31</v>
      </c>
    </row>
    <row r="72" spans="1:4" x14ac:dyDescent="0.25">
      <c r="A72" s="2">
        <v>46212.388356481482</v>
      </c>
      <c r="B72" t="s">
        <v>23</v>
      </c>
      <c r="C72">
        <v>264.42</v>
      </c>
      <c r="D72" t="s">
        <v>32</v>
      </c>
    </row>
    <row r="73" spans="1:4" x14ac:dyDescent="0.25">
      <c r="A73" s="2">
        <v>46212.388564814813</v>
      </c>
      <c r="B73" t="s">
        <v>23</v>
      </c>
      <c r="C73">
        <v>297.63</v>
      </c>
      <c r="D73" t="s">
        <v>36</v>
      </c>
    </row>
    <row r="74" spans="1:4" x14ac:dyDescent="0.25">
      <c r="A74" s="2">
        <v>46212.390405092592</v>
      </c>
      <c r="B74" t="s">
        <v>23</v>
      </c>
      <c r="C74">
        <v>81.86</v>
      </c>
      <c r="D74" t="s">
        <v>32</v>
      </c>
    </row>
    <row r="75" spans="1:4" x14ac:dyDescent="0.25">
      <c r="A75" s="2">
        <v>46212.390509259261</v>
      </c>
      <c r="B75" t="s">
        <v>23</v>
      </c>
      <c r="C75">
        <v>286.79000000000002</v>
      </c>
      <c r="D75" t="s">
        <v>32</v>
      </c>
    </row>
    <row r="76" spans="1:4" x14ac:dyDescent="0.25">
      <c r="A76" s="2">
        <v>46212.392094907409</v>
      </c>
      <c r="B76" t="s">
        <v>23</v>
      </c>
      <c r="C76">
        <v>35</v>
      </c>
      <c r="D76" t="s">
        <v>31</v>
      </c>
    </row>
    <row r="77" spans="1:4" x14ac:dyDescent="0.25">
      <c r="A77" s="2">
        <v>46212.393067129633</v>
      </c>
      <c r="B77" t="s">
        <v>23</v>
      </c>
      <c r="C77">
        <v>259.20999999999998</v>
      </c>
      <c r="D77" t="s">
        <v>32</v>
      </c>
    </row>
    <row r="78" spans="1:4" x14ac:dyDescent="0.25">
      <c r="A78" s="2">
        <v>46212.393101851849</v>
      </c>
      <c r="B78" t="s">
        <v>23</v>
      </c>
      <c r="C78">
        <v>1472.45</v>
      </c>
      <c r="D78" t="s">
        <v>32</v>
      </c>
    </row>
    <row r="79" spans="1:4" x14ac:dyDescent="0.25">
      <c r="A79" s="2">
        <v>46212.393854166665</v>
      </c>
      <c r="B79" t="s">
        <v>23</v>
      </c>
      <c r="C79">
        <v>163.65</v>
      </c>
      <c r="D79" t="s">
        <v>31</v>
      </c>
    </row>
    <row r="80" spans="1:4" x14ac:dyDescent="0.25">
      <c r="A80" s="2">
        <v>46212.394097222219</v>
      </c>
      <c r="B80" t="s">
        <v>23</v>
      </c>
      <c r="C80">
        <v>68.790000000000006</v>
      </c>
      <c r="D80" t="s">
        <v>32</v>
      </c>
    </row>
    <row r="81" spans="1:4" x14ac:dyDescent="0.25">
      <c r="A81" s="2">
        <v>46212.395509259259</v>
      </c>
      <c r="B81" t="s">
        <v>23</v>
      </c>
      <c r="C81">
        <v>37.47</v>
      </c>
      <c r="D81" t="s">
        <v>31</v>
      </c>
    </row>
    <row r="82" spans="1:4" x14ac:dyDescent="0.25">
      <c r="A82" s="2">
        <v>46212.397650462961</v>
      </c>
      <c r="B82" t="s">
        <v>23</v>
      </c>
      <c r="C82">
        <v>112.64</v>
      </c>
      <c r="D82" t="s">
        <v>32</v>
      </c>
    </row>
    <row r="83" spans="1:4" x14ac:dyDescent="0.25">
      <c r="A83" s="2">
        <v>46212.398298611108</v>
      </c>
      <c r="B83" t="s">
        <v>23</v>
      </c>
      <c r="C83">
        <v>245.1</v>
      </c>
      <c r="D83" t="s">
        <v>32</v>
      </c>
    </row>
    <row r="84" spans="1:4" x14ac:dyDescent="0.25">
      <c r="A84" s="2">
        <v>46212.399270833332</v>
      </c>
      <c r="B84" t="s">
        <v>23</v>
      </c>
      <c r="C84">
        <v>1428.98</v>
      </c>
      <c r="D84" t="s">
        <v>31</v>
      </c>
    </row>
    <row r="85" spans="1:4" x14ac:dyDescent="0.25">
      <c r="A85" s="2">
        <v>46212.402280092596</v>
      </c>
      <c r="B85" t="s">
        <v>23</v>
      </c>
      <c r="C85">
        <v>285.12</v>
      </c>
      <c r="D85" t="s">
        <v>32</v>
      </c>
    </row>
    <row r="86" spans="1:4" x14ac:dyDescent="0.25">
      <c r="A86" s="2">
        <v>46212.403333333335</v>
      </c>
      <c r="B86" t="s">
        <v>23</v>
      </c>
      <c r="C86">
        <v>102.66</v>
      </c>
      <c r="D86" t="s">
        <v>32</v>
      </c>
    </row>
    <row r="87" spans="1:4" x14ac:dyDescent="0.25">
      <c r="A87">
        <v>46212.403680555559</v>
      </c>
      <c r="B87" t="s">
        <v>23</v>
      </c>
      <c r="C87">
        <v>944.52</v>
      </c>
      <c r="D87" t="s">
        <v>32</v>
      </c>
    </row>
    <row r="88" spans="1:4" x14ac:dyDescent="0.25">
      <c r="A88">
        <v>46212.404074074075</v>
      </c>
      <c r="B88" t="s">
        <v>23</v>
      </c>
      <c r="C88">
        <v>201.99</v>
      </c>
      <c r="D88" t="s">
        <v>32</v>
      </c>
    </row>
    <row r="89" spans="1:4" x14ac:dyDescent="0.25">
      <c r="A89">
        <v>46212.404166666667</v>
      </c>
      <c r="B89" t="s">
        <v>23</v>
      </c>
      <c r="C89">
        <v>253.83</v>
      </c>
      <c r="D89" t="s">
        <v>36</v>
      </c>
    </row>
    <row r="90" spans="1:4" x14ac:dyDescent="0.25">
      <c r="A90">
        <v>46212.404398148145</v>
      </c>
      <c r="B90" t="s">
        <v>23</v>
      </c>
      <c r="C90">
        <v>848.5</v>
      </c>
      <c r="D90" t="s">
        <v>31</v>
      </c>
    </row>
    <row r="91" spans="1:4" x14ac:dyDescent="0.25">
      <c r="A91">
        <v>46212.404872685183</v>
      </c>
      <c r="B91" t="s">
        <v>23</v>
      </c>
      <c r="C91">
        <v>186.51</v>
      </c>
      <c r="D91" t="s">
        <v>32</v>
      </c>
    </row>
    <row r="92" spans="1:4" x14ac:dyDescent="0.25">
      <c r="A92">
        <v>46212.406689814816</v>
      </c>
      <c r="B92" t="s">
        <v>23</v>
      </c>
      <c r="C92">
        <v>609.16</v>
      </c>
      <c r="D92" t="s">
        <v>31</v>
      </c>
    </row>
    <row r="93" spans="1:4" x14ac:dyDescent="0.25">
      <c r="A93">
        <v>46212.406851851854</v>
      </c>
      <c r="B93" t="s">
        <v>23</v>
      </c>
      <c r="C93">
        <v>209.77</v>
      </c>
      <c r="D93" t="s">
        <v>32</v>
      </c>
    </row>
    <row r="94" spans="1:4" x14ac:dyDescent="0.25">
      <c r="A94">
        <v>46212.407592592594</v>
      </c>
      <c r="B94" t="s">
        <v>23</v>
      </c>
      <c r="C94">
        <v>538.29</v>
      </c>
      <c r="D94" t="s">
        <v>32</v>
      </c>
    </row>
    <row r="95" spans="1:4" x14ac:dyDescent="0.25">
      <c r="A95">
        <v>46212.40797453704</v>
      </c>
      <c r="B95" t="s">
        <v>23</v>
      </c>
      <c r="C95">
        <v>122.6</v>
      </c>
      <c r="D95" t="s">
        <v>36</v>
      </c>
    </row>
    <row r="96" spans="1:4" x14ac:dyDescent="0.25">
      <c r="A96">
        <v>46212.409166666665</v>
      </c>
      <c r="B96" t="s">
        <v>23</v>
      </c>
      <c r="C96">
        <v>179.82</v>
      </c>
      <c r="D96" t="s">
        <v>32</v>
      </c>
    </row>
    <row r="97" spans="1:4" x14ac:dyDescent="0.25">
      <c r="A97">
        <v>46212.409942129627</v>
      </c>
      <c r="B97" t="s">
        <v>23</v>
      </c>
      <c r="C97">
        <v>177.12</v>
      </c>
      <c r="D97" t="s">
        <v>32</v>
      </c>
    </row>
    <row r="98" spans="1:4" x14ac:dyDescent="0.25">
      <c r="A98">
        <v>46212.410856481481</v>
      </c>
      <c r="B98" t="s">
        <v>23</v>
      </c>
      <c r="C98">
        <v>897.28</v>
      </c>
      <c r="D98" t="s">
        <v>31</v>
      </c>
    </row>
    <row r="99" spans="1:4" x14ac:dyDescent="0.25">
      <c r="A99">
        <v>46212.411076388889</v>
      </c>
      <c r="B99" t="s">
        <v>23</v>
      </c>
      <c r="C99">
        <v>69.59</v>
      </c>
      <c r="D99" t="s">
        <v>32</v>
      </c>
    </row>
    <row r="100" spans="1:4" x14ac:dyDescent="0.25">
      <c r="A100">
        <v>46212.411296296297</v>
      </c>
      <c r="B100" t="s">
        <v>23</v>
      </c>
      <c r="C100">
        <v>53.25</v>
      </c>
      <c r="D100" t="s">
        <v>36</v>
      </c>
    </row>
    <row r="101" spans="1:4" x14ac:dyDescent="0.25">
      <c r="A101">
        <v>46212.411898148152</v>
      </c>
      <c r="B101" t="s">
        <v>23</v>
      </c>
      <c r="C101">
        <v>126.07</v>
      </c>
      <c r="D101" t="s">
        <v>32</v>
      </c>
    </row>
    <row r="102" spans="1:4" x14ac:dyDescent="0.25">
      <c r="A102">
        <v>46212.414039351854</v>
      </c>
      <c r="B102" t="s">
        <v>23</v>
      </c>
      <c r="C102">
        <v>206.6</v>
      </c>
      <c r="D102" t="s">
        <v>32</v>
      </c>
    </row>
    <row r="103" spans="1:4" x14ac:dyDescent="0.25">
      <c r="A103">
        <v>46212.414178240739</v>
      </c>
      <c r="B103" t="s">
        <v>23</v>
      </c>
      <c r="C103">
        <v>126.95</v>
      </c>
      <c r="D103" t="s">
        <v>32</v>
      </c>
    </row>
    <row r="104" spans="1:4" x14ac:dyDescent="0.25">
      <c r="A104">
        <v>46212.414513888885</v>
      </c>
      <c r="B104" t="s">
        <v>23</v>
      </c>
      <c r="C104">
        <v>38.26</v>
      </c>
      <c r="D104" t="s">
        <v>31</v>
      </c>
    </row>
    <row r="105" spans="1:4" x14ac:dyDescent="0.25">
      <c r="A105">
        <v>46212.415324074071</v>
      </c>
      <c r="B105" t="s">
        <v>23</v>
      </c>
      <c r="C105">
        <v>289.52</v>
      </c>
      <c r="D105" t="s">
        <v>32</v>
      </c>
    </row>
    <row r="106" spans="1:4" x14ac:dyDescent="0.25">
      <c r="A106">
        <v>46212.415555555555</v>
      </c>
      <c r="B106" t="s">
        <v>23</v>
      </c>
      <c r="C106">
        <v>727.12</v>
      </c>
      <c r="D106" t="s">
        <v>32</v>
      </c>
    </row>
    <row r="107" spans="1:4" x14ac:dyDescent="0.25">
      <c r="A107">
        <v>46212.416215277779</v>
      </c>
      <c r="B107" t="s">
        <v>23</v>
      </c>
      <c r="C107">
        <v>56.67</v>
      </c>
      <c r="D107" t="s">
        <v>31</v>
      </c>
    </row>
    <row r="108" spans="1:4" x14ac:dyDescent="0.25">
      <c r="A108">
        <v>46212.416493055556</v>
      </c>
      <c r="B108" t="s">
        <v>23</v>
      </c>
      <c r="C108">
        <v>565.84</v>
      </c>
      <c r="D108" t="s">
        <v>32</v>
      </c>
    </row>
    <row r="109" spans="1:4" x14ac:dyDescent="0.25">
      <c r="A109">
        <v>46212.41777777778</v>
      </c>
      <c r="B109" t="s">
        <v>23</v>
      </c>
      <c r="C109">
        <v>237.37</v>
      </c>
      <c r="D109" t="s">
        <v>32</v>
      </c>
    </row>
    <row r="110" spans="1:4" x14ac:dyDescent="0.25">
      <c r="A110">
        <v>46212.417939814812</v>
      </c>
      <c r="B110" t="s">
        <v>23</v>
      </c>
      <c r="C110">
        <v>166.67</v>
      </c>
      <c r="D110" t="s">
        <v>36</v>
      </c>
    </row>
    <row r="111" spans="1:4" x14ac:dyDescent="0.25">
      <c r="A111">
        <v>46212.418182870373</v>
      </c>
      <c r="B111" t="s">
        <v>23</v>
      </c>
      <c r="C111">
        <v>106.2</v>
      </c>
      <c r="D111" t="s">
        <v>31</v>
      </c>
    </row>
    <row r="112" spans="1:4" x14ac:dyDescent="0.25">
      <c r="A112">
        <v>46212.418182870373</v>
      </c>
      <c r="B112" t="s">
        <v>23</v>
      </c>
      <c r="C112">
        <v>164.71</v>
      </c>
      <c r="D112" t="s">
        <v>32</v>
      </c>
    </row>
    <row r="113" spans="1:4" x14ac:dyDescent="0.25">
      <c r="A113">
        <v>46212.420219907406</v>
      </c>
      <c r="B113" t="s">
        <v>23</v>
      </c>
      <c r="C113">
        <v>62.59</v>
      </c>
      <c r="D113" t="s">
        <v>32</v>
      </c>
    </row>
    <row r="114" spans="1:4" x14ac:dyDescent="0.25">
      <c r="A114">
        <v>46212.42082175926</v>
      </c>
      <c r="B114" t="s">
        <v>23</v>
      </c>
      <c r="C114">
        <v>195.84</v>
      </c>
      <c r="D114" t="s">
        <v>32</v>
      </c>
    </row>
    <row r="115" spans="1:4" x14ac:dyDescent="0.25">
      <c r="A115">
        <v>46212.42087962963</v>
      </c>
      <c r="B115" t="s">
        <v>23</v>
      </c>
      <c r="C115">
        <v>53.1</v>
      </c>
      <c r="D115" t="s">
        <v>31</v>
      </c>
    </row>
    <row r="116" spans="1:4" x14ac:dyDescent="0.25">
      <c r="A116">
        <v>46212.421041666668</v>
      </c>
      <c r="B116" t="s">
        <v>23</v>
      </c>
      <c r="C116">
        <v>122.55</v>
      </c>
      <c r="D116" t="s">
        <v>31</v>
      </c>
    </row>
    <row r="117" spans="1:4" x14ac:dyDescent="0.25">
      <c r="A117">
        <v>46212.424259259256</v>
      </c>
      <c r="B117" t="s">
        <v>23</v>
      </c>
      <c r="C117">
        <v>71.34</v>
      </c>
      <c r="D117" t="s">
        <v>32</v>
      </c>
    </row>
    <row r="118" spans="1:4" x14ac:dyDescent="0.25">
      <c r="A118">
        <v>46212.425115740742</v>
      </c>
      <c r="B118" t="s">
        <v>23</v>
      </c>
      <c r="C118">
        <v>146.71</v>
      </c>
      <c r="D118" t="s">
        <v>36</v>
      </c>
    </row>
    <row r="119" spans="1:4" x14ac:dyDescent="0.25">
      <c r="A119">
        <v>46212.425381944442</v>
      </c>
      <c r="B119" t="s">
        <v>23</v>
      </c>
      <c r="C119">
        <v>47.8</v>
      </c>
      <c r="D119" t="s">
        <v>32</v>
      </c>
    </row>
    <row r="120" spans="1:4" x14ac:dyDescent="0.25">
      <c r="A120">
        <v>46212.427858796298</v>
      </c>
      <c r="B120" t="s">
        <v>23</v>
      </c>
      <c r="C120">
        <v>199.82</v>
      </c>
      <c r="D120" t="s">
        <v>31</v>
      </c>
    </row>
    <row r="121" spans="1:4" x14ac:dyDescent="0.25">
      <c r="A121">
        <v>46212.42800925926</v>
      </c>
      <c r="B121" t="s">
        <v>23</v>
      </c>
      <c r="C121">
        <v>242.25</v>
      </c>
      <c r="D121" t="s">
        <v>32</v>
      </c>
    </row>
    <row r="122" spans="1:4" x14ac:dyDescent="0.25">
      <c r="A122">
        <v>46212.428715277776</v>
      </c>
      <c r="B122" t="s">
        <v>23</v>
      </c>
      <c r="C122">
        <v>212.55</v>
      </c>
      <c r="D122" t="s">
        <v>32</v>
      </c>
    </row>
    <row r="123" spans="1:4" x14ac:dyDescent="0.25">
      <c r="A123">
        <v>46212.429872685185</v>
      </c>
      <c r="B123" t="s">
        <v>23</v>
      </c>
      <c r="C123">
        <v>43.93</v>
      </c>
      <c r="D123" t="s">
        <v>31</v>
      </c>
    </row>
    <row r="124" spans="1:4" x14ac:dyDescent="0.25">
      <c r="A124">
        <v>46212.43</v>
      </c>
      <c r="B124" t="s">
        <v>23</v>
      </c>
      <c r="C124">
        <v>109.18</v>
      </c>
      <c r="D124" t="s">
        <v>32</v>
      </c>
    </row>
    <row r="125" spans="1:4" x14ac:dyDescent="0.25">
      <c r="A125">
        <v>46212.432557870372</v>
      </c>
      <c r="B125" t="s">
        <v>23</v>
      </c>
      <c r="C125">
        <v>228.14</v>
      </c>
      <c r="D125" t="s">
        <v>32</v>
      </c>
    </row>
    <row r="126" spans="1:4" x14ac:dyDescent="0.25">
      <c r="A126">
        <v>46212.432604166665</v>
      </c>
      <c r="B126" t="s">
        <v>23</v>
      </c>
      <c r="C126">
        <v>192.66</v>
      </c>
      <c r="D126" t="s">
        <v>32</v>
      </c>
    </row>
    <row r="127" spans="1:4" x14ac:dyDescent="0.25">
      <c r="A127">
        <v>46212.433692129627</v>
      </c>
      <c r="B127" t="s">
        <v>23</v>
      </c>
      <c r="C127">
        <v>342.81</v>
      </c>
      <c r="D127" t="s">
        <v>31</v>
      </c>
    </row>
    <row r="128" spans="1:4" x14ac:dyDescent="0.25">
      <c r="A128">
        <v>46212.434467592589</v>
      </c>
      <c r="B128" t="s">
        <v>23</v>
      </c>
      <c r="C128">
        <v>99.28</v>
      </c>
      <c r="D128" t="s">
        <v>32</v>
      </c>
    </row>
    <row r="129" spans="1:4" x14ac:dyDescent="0.25">
      <c r="A129">
        <v>46212.435185185182</v>
      </c>
      <c r="B129" t="s">
        <v>23</v>
      </c>
      <c r="C129">
        <v>211.24</v>
      </c>
      <c r="D129" t="s">
        <v>32</v>
      </c>
    </row>
    <row r="130" spans="1:4" x14ac:dyDescent="0.25">
      <c r="A130">
        <v>46212.438252314816</v>
      </c>
      <c r="B130" t="s">
        <v>23</v>
      </c>
      <c r="C130">
        <v>254.63</v>
      </c>
      <c r="D130" t="s">
        <v>32</v>
      </c>
    </row>
    <row r="131" spans="1:4" x14ac:dyDescent="0.25">
      <c r="A131">
        <v>46212.439166666663</v>
      </c>
      <c r="B131" t="s">
        <v>23</v>
      </c>
      <c r="C131">
        <v>114.52</v>
      </c>
      <c r="D131" t="s">
        <v>32</v>
      </c>
    </row>
    <row r="132" spans="1:4" x14ac:dyDescent="0.25">
      <c r="A132">
        <v>46212.439236111109</v>
      </c>
      <c r="B132" t="s">
        <v>23</v>
      </c>
      <c r="C132">
        <v>196.95</v>
      </c>
      <c r="D132" t="s">
        <v>32</v>
      </c>
    </row>
    <row r="133" spans="1:4" x14ac:dyDescent="0.25">
      <c r="A133">
        <v>46212.439652777779</v>
      </c>
      <c r="B133" t="s">
        <v>23</v>
      </c>
      <c r="C133">
        <v>189.86</v>
      </c>
      <c r="D133" t="s">
        <v>31</v>
      </c>
    </row>
    <row r="134" spans="1:4" x14ac:dyDescent="0.25">
      <c r="A134">
        <v>46212.441701388889</v>
      </c>
      <c r="B134" t="s">
        <v>23</v>
      </c>
      <c r="C134">
        <v>277.10000000000002</v>
      </c>
      <c r="D134" t="s">
        <v>32</v>
      </c>
    </row>
    <row r="135" spans="1:4" x14ac:dyDescent="0.25">
      <c r="A135">
        <v>46212.445092592592</v>
      </c>
      <c r="B135" t="s">
        <v>23</v>
      </c>
      <c r="C135">
        <v>40.19</v>
      </c>
      <c r="D135" t="s">
        <v>31</v>
      </c>
    </row>
    <row r="136" spans="1:4" x14ac:dyDescent="0.25">
      <c r="A136">
        <v>46212.445659722223</v>
      </c>
      <c r="B136" t="s">
        <v>23</v>
      </c>
      <c r="C136">
        <v>177.12</v>
      </c>
      <c r="D136" t="s">
        <v>31</v>
      </c>
    </row>
    <row r="137" spans="1:4" x14ac:dyDescent="0.25">
      <c r="A137">
        <v>46212.446388888886</v>
      </c>
      <c r="B137" t="s">
        <v>23</v>
      </c>
      <c r="C137">
        <v>48.33</v>
      </c>
      <c r="D137" t="s">
        <v>32</v>
      </c>
    </row>
    <row r="138" spans="1:4" x14ac:dyDescent="0.25">
      <c r="A138">
        <v>46212.449259259258</v>
      </c>
      <c r="B138" t="s">
        <v>23</v>
      </c>
      <c r="C138">
        <v>781.68</v>
      </c>
      <c r="D138" t="s">
        <v>32</v>
      </c>
    </row>
    <row r="139" spans="1:4" x14ac:dyDescent="0.25">
      <c r="A139">
        <v>46212.449259259258</v>
      </c>
      <c r="B139" t="s">
        <v>23</v>
      </c>
      <c r="C139">
        <v>84.08</v>
      </c>
      <c r="D139" t="s">
        <v>32</v>
      </c>
    </row>
    <row r="140" spans="1:4" x14ac:dyDescent="0.25">
      <c r="A140">
        <v>46212.450555555559</v>
      </c>
      <c r="B140" t="s">
        <v>23</v>
      </c>
      <c r="C140">
        <v>225.87</v>
      </c>
      <c r="D140" t="s">
        <v>36</v>
      </c>
    </row>
    <row r="141" spans="1:4" x14ac:dyDescent="0.25">
      <c r="A141">
        <v>46212.450740740744</v>
      </c>
      <c r="B141" t="s">
        <v>23</v>
      </c>
      <c r="C141">
        <v>167.25</v>
      </c>
      <c r="D141" t="s">
        <v>36</v>
      </c>
    </row>
    <row r="142" spans="1:4" x14ac:dyDescent="0.25">
      <c r="A142">
        <v>46212.451238425929</v>
      </c>
      <c r="B142" t="s">
        <v>23</v>
      </c>
      <c r="C142">
        <v>224.12</v>
      </c>
      <c r="D142" t="s">
        <v>31</v>
      </c>
    </row>
    <row r="143" spans="1:4" x14ac:dyDescent="0.25">
      <c r="A143">
        <v>46212.451261574075</v>
      </c>
      <c r="B143" t="s">
        <v>23</v>
      </c>
      <c r="C143">
        <v>69.319999999999993</v>
      </c>
      <c r="D143" t="s">
        <v>32</v>
      </c>
    </row>
    <row r="144" spans="1:4" x14ac:dyDescent="0.25">
      <c r="A144">
        <v>46212.452986111108</v>
      </c>
      <c r="B144" t="s">
        <v>23</v>
      </c>
      <c r="C144">
        <v>140.33000000000001</v>
      </c>
      <c r="D144" t="s">
        <v>31</v>
      </c>
    </row>
    <row r="145" spans="1:4" x14ac:dyDescent="0.25">
      <c r="A145">
        <v>46212.453298611108</v>
      </c>
      <c r="B145" t="s">
        <v>23</v>
      </c>
      <c r="C145">
        <v>11.67</v>
      </c>
      <c r="D145" t="s">
        <v>32</v>
      </c>
    </row>
    <row r="146" spans="1:4" x14ac:dyDescent="0.25">
      <c r="A146">
        <v>46212.454050925924</v>
      </c>
      <c r="B146" t="s">
        <v>23</v>
      </c>
      <c r="C146">
        <v>20.39</v>
      </c>
      <c r="D146" t="s">
        <v>36</v>
      </c>
    </row>
    <row r="147" spans="1:4" x14ac:dyDescent="0.25">
      <c r="A147">
        <v>46212.454432870371</v>
      </c>
      <c r="B147" t="s">
        <v>23</v>
      </c>
      <c r="C147">
        <v>188.64</v>
      </c>
      <c r="D147" t="s">
        <v>31</v>
      </c>
    </row>
    <row r="148" spans="1:4" x14ac:dyDescent="0.25">
      <c r="A148">
        <v>46212.454675925925</v>
      </c>
      <c r="B148" t="s">
        <v>23</v>
      </c>
      <c r="C148">
        <v>295.25</v>
      </c>
      <c r="D148" t="s">
        <v>36</v>
      </c>
    </row>
    <row r="149" spans="1:4" x14ac:dyDescent="0.25">
      <c r="A149">
        <v>46212.455868055556</v>
      </c>
      <c r="B149" t="s">
        <v>23</v>
      </c>
      <c r="C149">
        <v>486.22</v>
      </c>
      <c r="D149" t="s">
        <v>32</v>
      </c>
    </row>
    <row r="150" spans="1:4" x14ac:dyDescent="0.25">
      <c r="A150">
        <v>46212.455891203703</v>
      </c>
      <c r="B150" t="s">
        <v>23</v>
      </c>
      <c r="C150">
        <v>43.19</v>
      </c>
      <c r="D150" t="s">
        <v>31</v>
      </c>
    </row>
    <row r="151" spans="1:4" x14ac:dyDescent="0.25">
      <c r="A151">
        <v>46212.456585648149</v>
      </c>
      <c r="B151" t="s">
        <v>23</v>
      </c>
      <c r="C151">
        <v>244.7</v>
      </c>
      <c r="D151" t="s">
        <v>32</v>
      </c>
    </row>
    <row r="152" spans="1:4" x14ac:dyDescent="0.25">
      <c r="A152">
        <v>46212.456701388888</v>
      </c>
      <c r="B152" t="s">
        <v>23</v>
      </c>
      <c r="C152">
        <v>247.09</v>
      </c>
      <c r="D152" t="s">
        <v>31</v>
      </c>
    </row>
    <row r="153" spans="1:4" x14ac:dyDescent="0.25">
      <c r="A153">
        <v>46212.457268518519</v>
      </c>
      <c r="B153" t="s">
        <v>23</v>
      </c>
      <c r="C153">
        <v>287.20999999999998</v>
      </c>
      <c r="D153" t="s">
        <v>31</v>
      </c>
    </row>
    <row r="154" spans="1:4" x14ac:dyDescent="0.25">
      <c r="A154">
        <v>46212.45820601852</v>
      </c>
      <c r="B154" t="s">
        <v>23</v>
      </c>
      <c r="C154">
        <v>158.02000000000001</v>
      </c>
      <c r="D154" t="s">
        <v>36</v>
      </c>
    </row>
    <row r="155" spans="1:4" x14ac:dyDescent="0.25">
      <c r="A155">
        <v>46212.45857638889</v>
      </c>
      <c r="B155" t="s">
        <v>23</v>
      </c>
      <c r="C155">
        <v>219.19</v>
      </c>
      <c r="D155" t="s">
        <v>32</v>
      </c>
    </row>
    <row r="156" spans="1:4" x14ac:dyDescent="0.25">
      <c r="A156">
        <v>46212.459479166668</v>
      </c>
      <c r="B156" t="s">
        <v>23</v>
      </c>
      <c r="C156">
        <v>51.21</v>
      </c>
      <c r="D156" t="s">
        <v>32</v>
      </c>
    </row>
    <row r="157" spans="1:4" x14ac:dyDescent="0.25">
      <c r="A157">
        <v>46212.462037037039</v>
      </c>
      <c r="B157" t="s">
        <v>23</v>
      </c>
      <c r="C157">
        <v>24.97</v>
      </c>
      <c r="D157" t="s">
        <v>32</v>
      </c>
    </row>
    <row r="158" spans="1:4" x14ac:dyDescent="0.25">
      <c r="A158">
        <v>46212.463136574072</v>
      </c>
      <c r="B158" t="s">
        <v>23</v>
      </c>
      <c r="C158">
        <v>121.12</v>
      </c>
      <c r="D158" t="s">
        <v>31</v>
      </c>
    </row>
    <row r="159" spans="1:4" x14ac:dyDescent="0.25">
      <c r="A159">
        <v>46212.46533564815</v>
      </c>
      <c r="B159" t="s">
        <v>23</v>
      </c>
      <c r="C159">
        <v>254.83</v>
      </c>
      <c r="D159" t="s">
        <v>32</v>
      </c>
    </row>
    <row r="160" spans="1:4" x14ac:dyDescent="0.25">
      <c r="A160">
        <v>46212.466736111113</v>
      </c>
      <c r="B160" t="s">
        <v>23</v>
      </c>
      <c r="C160">
        <v>430.09</v>
      </c>
      <c r="D160" t="s">
        <v>32</v>
      </c>
    </row>
    <row r="161" spans="1:4" x14ac:dyDescent="0.25">
      <c r="A161">
        <v>46212.467627314814</v>
      </c>
      <c r="B161" t="s">
        <v>23</v>
      </c>
      <c r="C161">
        <v>30.13</v>
      </c>
      <c r="D161" t="s">
        <v>32</v>
      </c>
    </row>
    <row r="162" spans="1:4" x14ac:dyDescent="0.25">
      <c r="A162">
        <v>46212.468773148146</v>
      </c>
      <c r="B162" t="s">
        <v>23</v>
      </c>
      <c r="C162">
        <v>245.56</v>
      </c>
      <c r="D162" t="s">
        <v>32</v>
      </c>
    </row>
    <row r="163" spans="1:4" x14ac:dyDescent="0.25">
      <c r="A163">
        <v>46212.468842592592</v>
      </c>
      <c r="B163" t="s">
        <v>23</v>
      </c>
      <c r="C163">
        <v>64.94</v>
      </c>
      <c r="D163" t="s">
        <v>32</v>
      </c>
    </row>
    <row r="164" spans="1:4" x14ac:dyDescent="0.25">
      <c r="A164">
        <v>46212.469375000001</v>
      </c>
      <c r="B164" t="s">
        <v>23</v>
      </c>
      <c r="C164">
        <v>213.38</v>
      </c>
      <c r="D164" t="s">
        <v>32</v>
      </c>
    </row>
    <row r="165" spans="1:4" x14ac:dyDescent="0.25">
      <c r="A165">
        <v>46212.472511574073</v>
      </c>
      <c r="B165" t="s">
        <v>23</v>
      </c>
      <c r="C165">
        <v>211.93</v>
      </c>
      <c r="D165" t="s">
        <v>32</v>
      </c>
    </row>
    <row r="166" spans="1:4" x14ac:dyDescent="0.25">
      <c r="A166">
        <v>46212.474282407406</v>
      </c>
      <c r="B166" t="s">
        <v>23</v>
      </c>
      <c r="C166">
        <v>480.72</v>
      </c>
      <c r="D166" t="s">
        <v>31</v>
      </c>
    </row>
    <row r="167" spans="1:4" x14ac:dyDescent="0.25">
      <c r="A167">
        <v>46212.477372685185</v>
      </c>
      <c r="B167" t="s">
        <v>23</v>
      </c>
      <c r="C167">
        <v>405.53</v>
      </c>
      <c r="D167" t="s">
        <v>32</v>
      </c>
    </row>
    <row r="168" spans="1:4" x14ac:dyDescent="0.25">
      <c r="A168">
        <v>46212.477511574078</v>
      </c>
      <c r="B168" t="s">
        <v>23</v>
      </c>
      <c r="C168">
        <v>210.74</v>
      </c>
      <c r="D168" t="s">
        <v>36</v>
      </c>
    </row>
    <row r="169" spans="1:4" x14ac:dyDescent="0.25">
      <c r="A169">
        <v>46212.47760416667</v>
      </c>
      <c r="B169" t="s">
        <v>23</v>
      </c>
      <c r="C169">
        <v>176.37</v>
      </c>
      <c r="D169" t="s">
        <v>31</v>
      </c>
    </row>
    <row r="170" spans="1:4" x14ac:dyDescent="0.25">
      <c r="A170">
        <v>46212.477754629632</v>
      </c>
      <c r="B170" t="s">
        <v>23</v>
      </c>
      <c r="C170">
        <v>63.63</v>
      </c>
      <c r="D170" t="s">
        <v>32</v>
      </c>
    </row>
    <row r="171" spans="1:4" x14ac:dyDescent="0.25">
      <c r="A171">
        <v>46212.47865740741</v>
      </c>
      <c r="B171" t="s">
        <v>23</v>
      </c>
      <c r="C171">
        <v>107.13</v>
      </c>
      <c r="D171" t="s">
        <v>31</v>
      </c>
    </row>
    <row r="172" spans="1:4" x14ac:dyDescent="0.25">
      <c r="A172">
        <v>46212.478842592594</v>
      </c>
      <c r="B172" t="s">
        <v>23</v>
      </c>
      <c r="C172">
        <v>123.3</v>
      </c>
      <c r="D172" t="s">
        <v>32</v>
      </c>
    </row>
    <row r="173" spans="1:4" x14ac:dyDescent="0.25">
      <c r="A173">
        <v>46212.479178240741</v>
      </c>
      <c r="B173" t="s">
        <v>23</v>
      </c>
      <c r="C173">
        <v>48.27</v>
      </c>
      <c r="D173" t="s">
        <v>31</v>
      </c>
    </row>
    <row r="174" spans="1:4" x14ac:dyDescent="0.25">
      <c r="A174">
        <v>46212.479814814818</v>
      </c>
      <c r="B174" t="s">
        <v>23</v>
      </c>
      <c r="C174">
        <v>292.89</v>
      </c>
      <c r="D174" t="s">
        <v>36</v>
      </c>
    </row>
    <row r="175" spans="1:4" x14ac:dyDescent="0.25">
      <c r="A175">
        <v>46212.480810185189</v>
      </c>
      <c r="B175" t="s">
        <v>23</v>
      </c>
      <c r="C175">
        <v>567.58000000000004</v>
      </c>
      <c r="D175" t="s">
        <v>32</v>
      </c>
    </row>
    <row r="176" spans="1:4" x14ac:dyDescent="0.25">
      <c r="A176">
        <v>46212.482777777775</v>
      </c>
      <c r="B176" t="s">
        <v>23</v>
      </c>
      <c r="C176">
        <v>130.53</v>
      </c>
      <c r="D176" t="s">
        <v>32</v>
      </c>
    </row>
    <row r="177" spans="1:4" x14ac:dyDescent="0.25">
      <c r="A177">
        <v>46212.484155092592</v>
      </c>
      <c r="B177" t="s">
        <v>23</v>
      </c>
      <c r="C177">
        <v>153.29</v>
      </c>
      <c r="D177" t="s">
        <v>31</v>
      </c>
    </row>
    <row r="178" spans="1:4" x14ac:dyDescent="0.25">
      <c r="A178">
        <v>46212.484201388892</v>
      </c>
      <c r="B178" t="s">
        <v>23</v>
      </c>
      <c r="C178">
        <v>178.68</v>
      </c>
      <c r="D178" t="s">
        <v>31</v>
      </c>
    </row>
    <row r="179" spans="1:4" x14ac:dyDescent="0.25">
      <c r="A179">
        <v>46212.484375</v>
      </c>
      <c r="B179" t="s">
        <v>23</v>
      </c>
      <c r="C179">
        <v>150.62</v>
      </c>
      <c r="D179" t="s">
        <v>32</v>
      </c>
    </row>
    <row r="180" spans="1:4" x14ac:dyDescent="0.25">
      <c r="A180">
        <v>46212.484710648147</v>
      </c>
      <c r="B180" t="s">
        <v>23</v>
      </c>
      <c r="C180">
        <v>211.33</v>
      </c>
      <c r="D180" t="s">
        <v>31</v>
      </c>
    </row>
    <row r="181" spans="1:4" x14ac:dyDescent="0.25">
      <c r="A181">
        <v>46212.485902777778</v>
      </c>
      <c r="B181" t="s">
        <v>23</v>
      </c>
      <c r="C181">
        <v>178.13</v>
      </c>
      <c r="D181" t="s">
        <v>32</v>
      </c>
    </row>
    <row r="182" spans="1:4" x14ac:dyDescent="0.25">
      <c r="A182">
        <v>46212.488263888888</v>
      </c>
      <c r="B182" t="s">
        <v>23</v>
      </c>
      <c r="C182">
        <v>1344.86</v>
      </c>
      <c r="D182" t="s">
        <v>32</v>
      </c>
    </row>
    <row r="183" spans="1:4" x14ac:dyDescent="0.25">
      <c r="A183">
        <v>46212.492245370369</v>
      </c>
      <c r="B183" t="s">
        <v>23</v>
      </c>
      <c r="C183">
        <v>598.88</v>
      </c>
      <c r="D183" t="s">
        <v>32</v>
      </c>
    </row>
    <row r="184" spans="1:4" x14ac:dyDescent="0.25">
      <c r="A184">
        <v>46212.492673611108</v>
      </c>
      <c r="B184" t="s">
        <v>23</v>
      </c>
      <c r="C184">
        <v>100.61</v>
      </c>
      <c r="D184" t="s">
        <v>31</v>
      </c>
    </row>
    <row r="185" spans="1:4" x14ac:dyDescent="0.25">
      <c r="A185">
        <v>46212.492754629631</v>
      </c>
      <c r="B185" t="s">
        <v>23</v>
      </c>
      <c r="C185">
        <v>78.040000000000006</v>
      </c>
      <c r="D185" t="s">
        <v>32</v>
      </c>
    </row>
    <row r="186" spans="1:4" x14ac:dyDescent="0.25">
      <c r="A186">
        <v>46212.493090277778</v>
      </c>
      <c r="B186" t="s">
        <v>23</v>
      </c>
      <c r="C186">
        <v>292.49</v>
      </c>
      <c r="D186" t="s">
        <v>36</v>
      </c>
    </row>
    <row r="187" spans="1:4" x14ac:dyDescent="0.25">
      <c r="A187">
        <v>46212.493356481478</v>
      </c>
      <c r="B187" t="s">
        <v>23</v>
      </c>
      <c r="C187">
        <v>15.39</v>
      </c>
      <c r="D187" t="s">
        <v>32</v>
      </c>
    </row>
    <row r="188" spans="1:4" x14ac:dyDescent="0.25">
      <c r="A188">
        <v>46212.493981481479</v>
      </c>
      <c r="B188" t="s">
        <v>23</v>
      </c>
      <c r="C188">
        <v>42.93</v>
      </c>
      <c r="D188" t="s">
        <v>32</v>
      </c>
    </row>
    <row r="189" spans="1:4" x14ac:dyDescent="0.25">
      <c r="A189">
        <v>46212.494606481479</v>
      </c>
      <c r="B189" t="s">
        <v>23</v>
      </c>
      <c r="C189">
        <v>42.46</v>
      </c>
      <c r="D189" t="s">
        <v>36</v>
      </c>
    </row>
    <row r="190" spans="1:4" x14ac:dyDescent="0.25">
      <c r="A190">
        <v>46212.495011574072</v>
      </c>
      <c r="B190" t="s">
        <v>23</v>
      </c>
      <c r="C190">
        <v>289.36</v>
      </c>
      <c r="D190" t="s">
        <v>32</v>
      </c>
    </row>
    <row r="191" spans="1:4" x14ac:dyDescent="0.25">
      <c r="A191">
        <v>46212.495428240742</v>
      </c>
      <c r="B191" t="s">
        <v>23</v>
      </c>
      <c r="C191">
        <v>259.23</v>
      </c>
      <c r="D191" t="s">
        <v>36</v>
      </c>
    </row>
    <row r="192" spans="1:4" x14ac:dyDescent="0.25">
      <c r="A192">
        <v>46212.495462962965</v>
      </c>
      <c r="B192" t="s">
        <v>23</v>
      </c>
      <c r="C192">
        <v>126.19</v>
      </c>
      <c r="D192" t="s">
        <v>31</v>
      </c>
    </row>
    <row r="193" spans="1:4" x14ac:dyDescent="0.25">
      <c r="A193">
        <v>46212.495833333334</v>
      </c>
      <c r="B193" t="s">
        <v>23</v>
      </c>
      <c r="C193">
        <v>272.98</v>
      </c>
      <c r="D193" t="s">
        <v>36</v>
      </c>
    </row>
    <row r="194" spans="1:4" x14ac:dyDescent="0.25">
      <c r="A194">
        <v>46212.49664351852</v>
      </c>
      <c r="B194" t="s">
        <v>23</v>
      </c>
      <c r="C194">
        <v>131.32</v>
      </c>
      <c r="D194" t="s">
        <v>36</v>
      </c>
    </row>
    <row r="195" spans="1:4" x14ac:dyDescent="0.25">
      <c r="A195">
        <v>46212.498460648145</v>
      </c>
      <c r="B195" t="s">
        <v>23</v>
      </c>
      <c r="C195">
        <v>293.48</v>
      </c>
      <c r="D195" t="s">
        <v>32</v>
      </c>
    </row>
    <row r="196" spans="1:4" x14ac:dyDescent="0.25">
      <c r="A196">
        <v>46212.499166666668</v>
      </c>
      <c r="B196" t="s">
        <v>23</v>
      </c>
      <c r="C196">
        <v>1233.4000000000001</v>
      </c>
      <c r="D196" t="s">
        <v>31</v>
      </c>
    </row>
    <row r="197" spans="1:4" x14ac:dyDescent="0.25">
      <c r="A197">
        <v>46212.4996875</v>
      </c>
      <c r="B197" t="s">
        <v>23</v>
      </c>
      <c r="C197">
        <v>103.72</v>
      </c>
      <c r="D197" t="s">
        <v>32</v>
      </c>
    </row>
    <row r="198" spans="1:4" x14ac:dyDescent="0.25">
      <c r="A198">
        <v>46212.499907407408</v>
      </c>
      <c r="B198" t="s">
        <v>23</v>
      </c>
      <c r="C198">
        <v>229.38</v>
      </c>
      <c r="D198" t="s">
        <v>32</v>
      </c>
    </row>
    <row r="199" spans="1:4" x14ac:dyDescent="0.25">
      <c r="A199">
        <v>46212.50037037037</v>
      </c>
      <c r="B199" t="s">
        <v>23</v>
      </c>
      <c r="C199">
        <v>174.86</v>
      </c>
      <c r="D199" t="s">
        <v>32</v>
      </c>
    </row>
    <row r="200" spans="1:4" x14ac:dyDescent="0.25">
      <c r="A200">
        <v>46212.500532407408</v>
      </c>
      <c r="B200" t="s">
        <v>23</v>
      </c>
      <c r="C200">
        <v>210.62</v>
      </c>
      <c r="D200" t="s">
        <v>32</v>
      </c>
    </row>
    <row r="201" spans="1:4" x14ac:dyDescent="0.25">
      <c r="A201">
        <v>46212.50204861111</v>
      </c>
      <c r="B201" t="s">
        <v>23</v>
      </c>
      <c r="C201">
        <v>139.13</v>
      </c>
      <c r="D201" t="s">
        <v>32</v>
      </c>
    </row>
    <row r="202" spans="1:4" x14ac:dyDescent="0.25">
      <c r="A202">
        <v>46212.502418981479</v>
      </c>
      <c r="B202" t="s">
        <v>23</v>
      </c>
      <c r="C202">
        <v>267.85000000000002</v>
      </c>
      <c r="D202" t="s">
        <v>31</v>
      </c>
    </row>
    <row r="203" spans="1:4" x14ac:dyDescent="0.25">
      <c r="A203">
        <v>46212.502638888887</v>
      </c>
      <c r="B203" t="s">
        <v>23</v>
      </c>
      <c r="C203">
        <v>47.44</v>
      </c>
      <c r="D203" t="s">
        <v>32</v>
      </c>
    </row>
    <row r="204" spans="1:4" x14ac:dyDescent="0.25">
      <c r="A204">
        <v>46212.50372685185</v>
      </c>
      <c r="B204" t="s">
        <v>23</v>
      </c>
      <c r="C204">
        <v>284.42</v>
      </c>
      <c r="D204" t="s">
        <v>31</v>
      </c>
    </row>
    <row r="205" spans="1:4" x14ac:dyDescent="0.25">
      <c r="A205">
        <v>46212.503761574073</v>
      </c>
      <c r="B205" t="s">
        <v>23</v>
      </c>
      <c r="C205">
        <v>118.01</v>
      </c>
      <c r="D205" t="s">
        <v>32</v>
      </c>
    </row>
    <row r="206" spans="1:4" x14ac:dyDescent="0.25">
      <c r="A206">
        <v>46212.505960648145</v>
      </c>
      <c r="B206" t="s">
        <v>23</v>
      </c>
      <c r="C206">
        <v>216.88</v>
      </c>
      <c r="D206" t="s">
        <v>36</v>
      </c>
    </row>
    <row r="207" spans="1:4" x14ac:dyDescent="0.25">
      <c r="A207">
        <v>46212.506192129629</v>
      </c>
      <c r="B207" t="s">
        <v>23</v>
      </c>
      <c r="C207">
        <v>265.16000000000003</v>
      </c>
      <c r="D207" t="s">
        <v>32</v>
      </c>
    </row>
    <row r="208" spans="1:4" x14ac:dyDescent="0.25">
      <c r="A208">
        <v>46212.506979166668</v>
      </c>
      <c r="B208" t="s">
        <v>23</v>
      </c>
      <c r="C208">
        <v>203.41</v>
      </c>
      <c r="D208" t="s">
        <v>31</v>
      </c>
    </row>
    <row r="209" spans="1:4" x14ac:dyDescent="0.25">
      <c r="A209">
        <v>46212.507060185184</v>
      </c>
      <c r="B209" t="s">
        <v>23</v>
      </c>
      <c r="C209">
        <v>130.91</v>
      </c>
      <c r="D209" t="s">
        <v>31</v>
      </c>
    </row>
    <row r="210" spans="1:4" x14ac:dyDescent="0.25">
      <c r="A210">
        <v>46212.507870370369</v>
      </c>
      <c r="B210" t="s">
        <v>23</v>
      </c>
      <c r="C210">
        <v>429.35</v>
      </c>
      <c r="D210" t="s">
        <v>32</v>
      </c>
    </row>
    <row r="211" spans="1:4" x14ac:dyDescent="0.25">
      <c r="A211">
        <v>46212.50980324074</v>
      </c>
      <c r="B211" t="s">
        <v>23</v>
      </c>
      <c r="C211">
        <v>724.33</v>
      </c>
      <c r="D211" t="s">
        <v>31</v>
      </c>
    </row>
    <row r="212" spans="1:4" x14ac:dyDescent="0.25">
      <c r="A212">
        <v>46212.50990740741</v>
      </c>
      <c r="B212" t="s">
        <v>23</v>
      </c>
      <c r="C212">
        <v>130.33000000000001</v>
      </c>
      <c r="D212" t="s">
        <v>31</v>
      </c>
    </row>
    <row r="213" spans="1:4" x14ac:dyDescent="0.25">
      <c r="A213">
        <v>46212.511192129627</v>
      </c>
      <c r="B213" t="s">
        <v>23</v>
      </c>
      <c r="C213">
        <v>43.37</v>
      </c>
      <c r="D213" t="s">
        <v>32</v>
      </c>
    </row>
    <row r="214" spans="1:4" x14ac:dyDescent="0.25">
      <c r="A214">
        <v>46212.511481481481</v>
      </c>
      <c r="B214" t="s">
        <v>23</v>
      </c>
      <c r="C214">
        <v>58.54</v>
      </c>
      <c r="D214" t="s">
        <v>36</v>
      </c>
    </row>
    <row r="215" spans="1:4" x14ac:dyDescent="0.25">
      <c r="A215">
        <v>46212.511736111112</v>
      </c>
      <c r="B215" t="s">
        <v>23</v>
      </c>
      <c r="C215">
        <v>71.08</v>
      </c>
      <c r="D215" t="s">
        <v>32</v>
      </c>
    </row>
    <row r="216" spans="1:4" x14ac:dyDescent="0.25">
      <c r="A216">
        <v>46212.512627314813</v>
      </c>
      <c r="B216" t="s">
        <v>23</v>
      </c>
      <c r="C216">
        <v>12.72</v>
      </c>
      <c r="D216" t="s">
        <v>32</v>
      </c>
    </row>
    <row r="217" spans="1:4" x14ac:dyDescent="0.25">
      <c r="A217">
        <v>46212.51289351852</v>
      </c>
      <c r="B217" t="s">
        <v>23</v>
      </c>
      <c r="C217">
        <v>813.29</v>
      </c>
      <c r="D217" t="s">
        <v>31</v>
      </c>
    </row>
    <row r="218" spans="1:4" x14ac:dyDescent="0.25">
      <c r="A218">
        <v>46212.513854166667</v>
      </c>
      <c r="B218" t="s">
        <v>23</v>
      </c>
      <c r="C218">
        <v>107.06</v>
      </c>
      <c r="D218" t="s">
        <v>32</v>
      </c>
    </row>
    <row r="219" spans="1:4" x14ac:dyDescent="0.25">
      <c r="A219">
        <v>46212.514374999999</v>
      </c>
      <c r="B219" t="s">
        <v>23</v>
      </c>
      <c r="C219">
        <v>27.6</v>
      </c>
      <c r="D219" t="s">
        <v>31</v>
      </c>
    </row>
    <row r="220" spans="1:4" x14ac:dyDescent="0.25">
      <c r="A220">
        <v>46212.514803240738</v>
      </c>
      <c r="B220" t="s">
        <v>23</v>
      </c>
      <c r="C220">
        <v>39.78</v>
      </c>
      <c r="D220" t="s">
        <v>32</v>
      </c>
    </row>
    <row r="221" spans="1:4" x14ac:dyDescent="0.25">
      <c r="A221">
        <v>46212.514953703707</v>
      </c>
      <c r="B221" t="s">
        <v>23</v>
      </c>
      <c r="C221">
        <v>815.22</v>
      </c>
      <c r="D221" t="s">
        <v>32</v>
      </c>
    </row>
    <row r="222" spans="1:4" x14ac:dyDescent="0.25">
      <c r="A222">
        <v>46212.516030092593</v>
      </c>
      <c r="B222" t="s">
        <v>23</v>
      </c>
      <c r="C222">
        <v>249.56</v>
      </c>
      <c r="D222" t="s">
        <v>31</v>
      </c>
    </row>
    <row r="223" spans="1:4" x14ac:dyDescent="0.25">
      <c r="A223">
        <v>46212.517650462964</v>
      </c>
      <c r="B223" t="s">
        <v>23</v>
      </c>
      <c r="C223">
        <v>696.55</v>
      </c>
      <c r="D223" t="s">
        <v>32</v>
      </c>
    </row>
    <row r="224" spans="1:4" x14ac:dyDescent="0.25">
      <c r="A224">
        <v>46212.518391203703</v>
      </c>
      <c r="B224" t="s">
        <v>23</v>
      </c>
      <c r="C224">
        <v>58.56</v>
      </c>
      <c r="D224" t="s">
        <v>31</v>
      </c>
    </row>
    <row r="225" spans="1:4" x14ac:dyDescent="0.25">
      <c r="A225">
        <v>46212.518622685187</v>
      </c>
      <c r="B225" t="s">
        <v>23</v>
      </c>
      <c r="C225">
        <v>21.93</v>
      </c>
      <c r="D225" t="s">
        <v>32</v>
      </c>
    </row>
    <row r="226" spans="1:4" x14ac:dyDescent="0.25">
      <c r="A226">
        <v>46212.519016203703</v>
      </c>
      <c r="B226" t="s">
        <v>23</v>
      </c>
      <c r="C226">
        <v>257.95</v>
      </c>
      <c r="D226" t="s">
        <v>32</v>
      </c>
    </row>
    <row r="227" spans="1:4" x14ac:dyDescent="0.25">
      <c r="A227">
        <v>46212.519050925926</v>
      </c>
      <c r="B227" t="s">
        <v>23</v>
      </c>
      <c r="C227">
        <v>118.66</v>
      </c>
      <c r="D227" t="s">
        <v>32</v>
      </c>
    </row>
    <row r="228" spans="1:4" x14ac:dyDescent="0.25">
      <c r="A228">
        <v>46212.519085648149</v>
      </c>
      <c r="B228" t="s">
        <v>23</v>
      </c>
      <c r="C228">
        <v>140.94999999999999</v>
      </c>
      <c r="D228" t="s">
        <v>32</v>
      </c>
    </row>
    <row r="229" spans="1:4" x14ac:dyDescent="0.25">
      <c r="A229">
        <v>46212.52008101852</v>
      </c>
      <c r="B229" t="s">
        <v>23</v>
      </c>
      <c r="C229">
        <v>56.05</v>
      </c>
      <c r="D229" t="s">
        <v>32</v>
      </c>
    </row>
    <row r="230" spans="1:4" x14ac:dyDescent="0.25">
      <c r="A230">
        <v>46212.52039351852</v>
      </c>
      <c r="B230" t="s">
        <v>23</v>
      </c>
      <c r="C230">
        <v>174.9</v>
      </c>
      <c r="D230" t="s">
        <v>32</v>
      </c>
    </row>
    <row r="231" spans="1:4" x14ac:dyDescent="0.25">
      <c r="A231">
        <v>46212.520868055559</v>
      </c>
      <c r="B231" t="s">
        <v>23</v>
      </c>
      <c r="C231">
        <v>43.26</v>
      </c>
      <c r="D231" t="s">
        <v>31</v>
      </c>
    </row>
    <row r="232" spans="1:4" x14ac:dyDescent="0.25">
      <c r="A232">
        <v>46212.521365740744</v>
      </c>
      <c r="B232" t="s">
        <v>23</v>
      </c>
      <c r="C232">
        <v>684.61</v>
      </c>
      <c r="D232" t="s">
        <v>31</v>
      </c>
    </row>
    <row r="233" spans="1:4" x14ac:dyDescent="0.25">
      <c r="A233">
        <v>46212.521562499998</v>
      </c>
      <c r="B233" t="s">
        <v>23</v>
      </c>
      <c r="C233">
        <v>134.09</v>
      </c>
      <c r="D233" t="s">
        <v>31</v>
      </c>
    </row>
    <row r="234" spans="1:4" x14ac:dyDescent="0.25">
      <c r="A234">
        <v>46212.521932870368</v>
      </c>
      <c r="B234" t="s">
        <v>23</v>
      </c>
      <c r="C234">
        <v>490.78</v>
      </c>
      <c r="D234" t="s">
        <v>32</v>
      </c>
    </row>
    <row r="235" spans="1:4" x14ac:dyDescent="0.25">
      <c r="A235">
        <v>46212.522349537037</v>
      </c>
      <c r="B235" t="s">
        <v>23</v>
      </c>
      <c r="C235">
        <v>21.49</v>
      </c>
      <c r="D235" t="s">
        <v>32</v>
      </c>
    </row>
    <row r="236" spans="1:4" x14ac:dyDescent="0.25">
      <c r="A236">
        <v>46212.522604166668</v>
      </c>
      <c r="B236" t="s">
        <v>23</v>
      </c>
      <c r="C236">
        <v>100.32</v>
      </c>
      <c r="D236" t="s">
        <v>32</v>
      </c>
    </row>
    <row r="237" spans="1:4" x14ac:dyDescent="0.25">
      <c r="A237">
        <v>46212.522812499999</v>
      </c>
      <c r="B237" t="s">
        <v>23</v>
      </c>
      <c r="C237">
        <v>118.79</v>
      </c>
      <c r="D237" t="s">
        <v>32</v>
      </c>
    </row>
    <row r="238" spans="1:4" x14ac:dyDescent="0.25">
      <c r="A238">
        <v>46212.52380787037</v>
      </c>
      <c r="B238" t="s">
        <v>23</v>
      </c>
      <c r="C238">
        <v>211.97</v>
      </c>
      <c r="D238" t="s">
        <v>32</v>
      </c>
    </row>
    <row r="239" spans="1:4" x14ac:dyDescent="0.25">
      <c r="A239">
        <v>46212.524027777778</v>
      </c>
      <c r="B239" t="s">
        <v>23</v>
      </c>
      <c r="C239">
        <v>1295.0899999999999</v>
      </c>
      <c r="D239" t="s">
        <v>32</v>
      </c>
    </row>
    <row r="240" spans="1:4" x14ac:dyDescent="0.25">
      <c r="A240">
        <v>46212.526539351849</v>
      </c>
      <c r="B240" t="s">
        <v>23</v>
      </c>
      <c r="C240">
        <v>411.38</v>
      </c>
      <c r="D240" t="s">
        <v>36</v>
      </c>
    </row>
    <row r="241" spans="1:4" x14ac:dyDescent="0.25">
      <c r="A241">
        <v>46212.529930555553</v>
      </c>
      <c r="B241" t="s">
        <v>23</v>
      </c>
      <c r="C241">
        <v>1059.5</v>
      </c>
      <c r="D241" t="s">
        <v>32</v>
      </c>
    </row>
    <row r="242" spans="1:4" x14ac:dyDescent="0.25">
      <c r="A242">
        <v>46212.531122685185</v>
      </c>
      <c r="B242" t="s">
        <v>23</v>
      </c>
      <c r="C242">
        <v>195.04</v>
      </c>
      <c r="D242" t="s">
        <v>32</v>
      </c>
    </row>
    <row r="243" spans="1:4" x14ac:dyDescent="0.25">
      <c r="A243">
        <v>46212.531458333331</v>
      </c>
      <c r="B243" t="s">
        <v>23</v>
      </c>
      <c r="C243">
        <v>263.69</v>
      </c>
      <c r="D243" t="s">
        <v>32</v>
      </c>
    </row>
    <row r="244" spans="1:4" x14ac:dyDescent="0.25">
      <c r="A244">
        <v>46212.532025462962</v>
      </c>
      <c r="B244" t="s">
        <v>23</v>
      </c>
      <c r="C244">
        <v>223.44</v>
      </c>
      <c r="D244" t="s">
        <v>31</v>
      </c>
    </row>
    <row r="245" spans="1:4" x14ac:dyDescent="0.25">
      <c r="A245">
        <v>46212.532627314817</v>
      </c>
      <c r="B245" t="s">
        <v>23</v>
      </c>
      <c r="C245">
        <v>124.64</v>
      </c>
      <c r="D245" t="s">
        <v>32</v>
      </c>
    </row>
    <row r="246" spans="1:4" x14ac:dyDescent="0.25">
      <c r="A246">
        <v>46212.533113425925</v>
      </c>
      <c r="B246" t="s">
        <v>23</v>
      </c>
      <c r="C246">
        <v>407.41</v>
      </c>
      <c r="D246" t="s">
        <v>31</v>
      </c>
    </row>
    <row r="247" spans="1:4" x14ac:dyDescent="0.25">
      <c r="A247">
        <v>46212.533564814818</v>
      </c>
      <c r="B247" t="s">
        <v>23</v>
      </c>
      <c r="C247">
        <v>425.86</v>
      </c>
      <c r="D247" t="s">
        <v>32</v>
      </c>
    </row>
    <row r="248" spans="1:4" x14ac:dyDescent="0.25">
      <c r="A248">
        <v>46212.533935185187</v>
      </c>
      <c r="B248" t="s">
        <v>23</v>
      </c>
      <c r="C248">
        <v>240.64</v>
      </c>
      <c r="D248" t="s">
        <v>31</v>
      </c>
    </row>
    <row r="249" spans="1:4" x14ac:dyDescent="0.25">
      <c r="A249">
        <v>46212.53396990741</v>
      </c>
      <c r="B249" t="s">
        <v>23</v>
      </c>
      <c r="C249">
        <v>171.26</v>
      </c>
      <c r="D249" t="s">
        <v>32</v>
      </c>
    </row>
    <row r="250" spans="1:4" x14ac:dyDescent="0.25">
      <c r="A250">
        <v>46212.534247685187</v>
      </c>
      <c r="B250" t="s">
        <v>23</v>
      </c>
      <c r="C250">
        <v>23.39</v>
      </c>
      <c r="D250" t="s">
        <v>36</v>
      </c>
    </row>
    <row r="251" spans="1:4" x14ac:dyDescent="0.25">
      <c r="A251">
        <v>46212.534375000003</v>
      </c>
      <c r="B251" t="s">
        <v>23</v>
      </c>
      <c r="C251">
        <v>34.14</v>
      </c>
      <c r="D251" t="s">
        <v>32</v>
      </c>
    </row>
    <row r="252" spans="1:4" x14ac:dyDescent="0.25">
      <c r="A252">
        <v>46212.534490740742</v>
      </c>
      <c r="B252" t="s">
        <v>23</v>
      </c>
      <c r="C252">
        <v>38.4</v>
      </c>
      <c r="D252" t="s">
        <v>32</v>
      </c>
    </row>
    <row r="253" spans="1:4" x14ac:dyDescent="0.25">
      <c r="A253">
        <v>46212.534490740742</v>
      </c>
      <c r="B253" t="s">
        <v>23</v>
      </c>
      <c r="C253">
        <v>51.37</v>
      </c>
      <c r="D253" t="s">
        <v>31</v>
      </c>
    </row>
    <row r="254" spans="1:4" x14ac:dyDescent="0.25">
      <c r="A254">
        <v>46212.534687500003</v>
      </c>
      <c r="B254" t="s">
        <v>23</v>
      </c>
      <c r="C254">
        <v>170.71</v>
      </c>
      <c r="D254" t="s">
        <v>32</v>
      </c>
    </row>
    <row r="255" spans="1:4" x14ac:dyDescent="0.25">
      <c r="A255">
        <v>46212.534803240742</v>
      </c>
      <c r="B255" t="s">
        <v>23</v>
      </c>
      <c r="C255">
        <v>48.66</v>
      </c>
      <c r="D255" t="s">
        <v>36</v>
      </c>
    </row>
    <row r="256" spans="1:4" x14ac:dyDescent="0.25">
      <c r="A256">
        <v>46212.53570601852</v>
      </c>
      <c r="B256" t="s">
        <v>23</v>
      </c>
      <c r="C256">
        <v>11.49</v>
      </c>
      <c r="D256" t="s">
        <v>31</v>
      </c>
    </row>
    <row r="257" spans="1:4" x14ac:dyDescent="0.25">
      <c r="A257">
        <v>46212.535717592589</v>
      </c>
      <c r="B257" t="s">
        <v>23</v>
      </c>
      <c r="C257">
        <v>132.11000000000001</v>
      </c>
      <c r="D257" t="s">
        <v>32</v>
      </c>
    </row>
    <row r="258" spans="1:4" x14ac:dyDescent="0.25">
      <c r="A258">
        <v>46212.535833333335</v>
      </c>
      <c r="B258" t="s">
        <v>23</v>
      </c>
      <c r="C258">
        <v>230.66</v>
      </c>
      <c r="D258" t="s">
        <v>32</v>
      </c>
    </row>
    <row r="259" spans="1:4" x14ac:dyDescent="0.25">
      <c r="A259">
        <v>46212.536412037036</v>
      </c>
      <c r="B259" t="s">
        <v>23</v>
      </c>
      <c r="C259">
        <v>77.11</v>
      </c>
      <c r="D259" t="s">
        <v>32</v>
      </c>
    </row>
    <row r="260" spans="1:4" x14ac:dyDescent="0.25">
      <c r="A260">
        <v>46212.538090277776</v>
      </c>
      <c r="B260" t="s">
        <v>23</v>
      </c>
      <c r="C260">
        <v>163.37</v>
      </c>
      <c r="D260" t="s">
        <v>31</v>
      </c>
    </row>
    <row r="261" spans="1:4" x14ac:dyDescent="0.25">
      <c r="A261">
        <v>46212.53943287037</v>
      </c>
      <c r="B261" t="s">
        <v>23</v>
      </c>
      <c r="C261">
        <v>274.14999999999998</v>
      </c>
      <c r="D261" t="s">
        <v>31</v>
      </c>
    </row>
    <row r="262" spans="1:4" x14ac:dyDescent="0.25">
      <c r="A262">
        <v>46212.539907407408</v>
      </c>
      <c r="B262" t="s">
        <v>23</v>
      </c>
      <c r="C262">
        <v>215.25</v>
      </c>
      <c r="D262" t="s">
        <v>31</v>
      </c>
    </row>
    <row r="263" spans="1:4" x14ac:dyDescent="0.25">
      <c r="A263">
        <v>46212.541620370372</v>
      </c>
      <c r="B263" t="s">
        <v>23</v>
      </c>
      <c r="C263">
        <v>26.61</v>
      </c>
      <c r="D263" t="s">
        <v>32</v>
      </c>
    </row>
    <row r="264" spans="1:4" x14ac:dyDescent="0.25">
      <c r="A264">
        <v>46212.541944444441</v>
      </c>
      <c r="B264" t="s">
        <v>23</v>
      </c>
      <c r="C264">
        <v>260.08</v>
      </c>
      <c r="D264" t="s">
        <v>32</v>
      </c>
    </row>
    <row r="265" spans="1:4" x14ac:dyDescent="0.25">
      <c r="A265">
        <v>46212.543194444443</v>
      </c>
      <c r="B265" t="s">
        <v>23</v>
      </c>
      <c r="C265">
        <v>290.24</v>
      </c>
      <c r="D265" t="s">
        <v>32</v>
      </c>
    </row>
    <row r="266" spans="1:4" x14ac:dyDescent="0.25">
      <c r="A266">
        <v>46212.543668981481</v>
      </c>
      <c r="B266" t="s">
        <v>23</v>
      </c>
      <c r="C266">
        <v>266.42</v>
      </c>
      <c r="D266" t="s">
        <v>32</v>
      </c>
    </row>
    <row r="267" spans="1:4" x14ac:dyDescent="0.25">
      <c r="A267">
        <v>46212.54409722222</v>
      </c>
      <c r="B267" t="s">
        <v>23</v>
      </c>
      <c r="C267">
        <v>1366.67</v>
      </c>
      <c r="D267" t="s">
        <v>31</v>
      </c>
    </row>
    <row r="268" spans="1:4" x14ac:dyDescent="0.25">
      <c r="A268">
        <v>46212.544178240743</v>
      </c>
      <c r="B268" t="s">
        <v>23</v>
      </c>
      <c r="C268">
        <v>217.33</v>
      </c>
      <c r="D268" t="s">
        <v>32</v>
      </c>
    </row>
    <row r="269" spans="1:4" x14ac:dyDescent="0.25">
      <c r="A269">
        <v>46212.544340277775</v>
      </c>
      <c r="B269" t="s">
        <v>23</v>
      </c>
      <c r="C269">
        <v>1123.01</v>
      </c>
      <c r="D269" t="s">
        <v>32</v>
      </c>
    </row>
    <row r="270" spans="1:4" x14ac:dyDescent="0.25">
      <c r="A270">
        <v>46212.544560185182</v>
      </c>
      <c r="B270" t="s">
        <v>23</v>
      </c>
      <c r="C270">
        <v>264.02999999999997</v>
      </c>
      <c r="D270" t="s">
        <v>32</v>
      </c>
    </row>
    <row r="271" spans="1:4" x14ac:dyDescent="0.25">
      <c r="A271">
        <v>46212.544606481482</v>
      </c>
      <c r="B271" t="s">
        <v>23</v>
      </c>
      <c r="C271">
        <v>107.29</v>
      </c>
      <c r="D271" t="s">
        <v>32</v>
      </c>
    </row>
    <row r="272" spans="1:4" x14ac:dyDescent="0.25">
      <c r="A272">
        <v>46212.544652777775</v>
      </c>
      <c r="B272" t="s">
        <v>23</v>
      </c>
      <c r="C272">
        <v>155.63</v>
      </c>
      <c r="D272" t="s">
        <v>32</v>
      </c>
    </row>
    <row r="273" spans="1:4" x14ac:dyDescent="0.25">
      <c r="A273">
        <v>46212.545046296298</v>
      </c>
      <c r="B273" t="s">
        <v>23</v>
      </c>
      <c r="C273">
        <v>79.34</v>
      </c>
      <c r="D273" t="s">
        <v>32</v>
      </c>
    </row>
    <row r="274" spans="1:4" x14ac:dyDescent="0.25">
      <c r="A274">
        <v>46212.548587962963</v>
      </c>
      <c r="B274" t="s">
        <v>23</v>
      </c>
      <c r="C274">
        <v>165.18</v>
      </c>
      <c r="D274" t="s">
        <v>31</v>
      </c>
    </row>
    <row r="275" spans="1:4" x14ac:dyDescent="0.25">
      <c r="A275">
        <v>46212.549490740741</v>
      </c>
      <c r="B275" t="s">
        <v>23</v>
      </c>
      <c r="C275">
        <v>230</v>
      </c>
      <c r="D275" t="s">
        <v>32</v>
      </c>
    </row>
    <row r="276" spans="1:4" x14ac:dyDescent="0.25">
      <c r="A276">
        <v>46212.549699074072</v>
      </c>
      <c r="B276" t="s">
        <v>23</v>
      </c>
      <c r="C276">
        <v>219.59</v>
      </c>
      <c r="D276" t="s">
        <v>31</v>
      </c>
    </row>
    <row r="277" spans="1:4" x14ac:dyDescent="0.25">
      <c r="A277">
        <v>46212.550057870372</v>
      </c>
      <c r="B277" t="s">
        <v>23</v>
      </c>
      <c r="C277">
        <v>70.83</v>
      </c>
      <c r="D277" t="s">
        <v>31</v>
      </c>
    </row>
    <row r="278" spans="1:4" x14ac:dyDescent="0.25">
      <c r="A278">
        <v>46212.55096064815</v>
      </c>
      <c r="B278" t="s">
        <v>23</v>
      </c>
      <c r="C278">
        <v>843.53</v>
      </c>
      <c r="D278" t="s">
        <v>31</v>
      </c>
    </row>
    <row r="279" spans="1:4" x14ac:dyDescent="0.25">
      <c r="A279">
        <v>46212.552835648145</v>
      </c>
      <c r="B279" t="s">
        <v>23</v>
      </c>
      <c r="C279">
        <v>92.25</v>
      </c>
      <c r="D279" t="s">
        <v>32</v>
      </c>
    </row>
    <row r="280" spans="1:4" x14ac:dyDescent="0.25">
      <c r="A280">
        <v>46212.555706018517</v>
      </c>
      <c r="B280" t="s">
        <v>23</v>
      </c>
      <c r="C280">
        <v>76.98</v>
      </c>
      <c r="D280" t="s">
        <v>32</v>
      </c>
    </row>
    <row r="281" spans="1:4" x14ac:dyDescent="0.25">
      <c r="A281">
        <v>46212.555949074071</v>
      </c>
      <c r="B281" t="s">
        <v>23</v>
      </c>
      <c r="C281">
        <v>244.06</v>
      </c>
      <c r="D281" t="s">
        <v>32</v>
      </c>
    </row>
    <row r="282" spans="1:4" x14ac:dyDescent="0.25">
      <c r="A282">
        <v>46212.557592592595</v>
      </c>
      <c r="B282" t="s">
        <v>23</v>
      </c>
      <c r="C282">
        <v>61.82</v>
      </c>
      <c r="D282" t="s">
        <v>31</v>
      </c>
    </row>
    <row r="283" spans="1:4" x14ac:dyDescent="0.25">
      <c r="A283">
        <v>46212.558391203704</v>
      </c>
      <c r="B283" t="s">
        <v>23</v>
      </c>
      <c r="C283">
        <v>226.11</v>
      </c>
      <c r="D283" t="s">
        <v>32</v>
      </c>
    </row>
    <row r="284" spans="1:4" x14ac:dyDescent="0.25">
      <c r="A284">
        <v>46212.559699074074</v>
      </c>
      <c r="B284" t="s">
        <v>23</v>
      </c>
      <c r="C284">
        <v>185.13</v>
      </c>
      <c r="D284" t="s">
        <v>36</v>
      </c>
    </row>
    <row r="285" spans="1:4" x14ac:dyDescent="0.25">
      <c r="A285">
        <v>46212.560416666667</v>
      </c>
      <c r="B285" t="s">
        <v>23</v>
      </c>
      <c r="C285">
        <v>136.21</v>
      </c>
      <c r="D285" t="s">
        <v>31</v>
      </c>
    </row>
    <row r="286" spans="1:4" x14ac:dyDescent="0.25">
      <c r="A286">
        <v>46212.560879629629</v>
      </c>
      <c r="B286" t="s">
        <v>23</v>
      </c>
      <c r="C286">
        <v>126.1</v>
      </c>
      <c r="D286" t="s">
        <v>31</v>
      </c>
    </row>
    <row r="287" spans="1:4" x14ac:dyDescent="0.25">
      <c r="A287">
        <v>46212.561122685183</v>
      </c>
      <c r="B287" t="s">
        <v>23</v>
      </c>
      <c r="C287">
        <v>284.67</v>
      </c>
      <c r="D287" t="s">
        <v>32</v>
      </c>
    </row>
    <row r="288" spans="1:4" x14ac:dyDescent="0.25">
      <c r="A288">
        <v>46212.561608796299</v>
      </c>
      <c r="B288" t="s">
        <v>23</v>
      </c>
      <c r="C288">
        <v>32.619999999999997</v>
      </c>
      <c r="D288" t="s">
        <v>31</v>
      </c>
    </row>
    <row r="289" spans="1:4" x14ac:dyDescent="0.25">
      <c r="A289">
        <v>46212.562789351854</v>
      </c>
      <c r="B289" t="s">
        <v>23</v>
      </c>
      <c r="C289">
        <v>143.68</v>
      </c>
      <c r="D289" t="s">
        <v>36</v>
      </c>
    </row>
    <row r="290" spans="1:4" x14ac:dyDescent="0.25">
      <c r="A290">
        <v>46212.563819444447</v>
      </c>
      <c r="B290" t="s">
        <v>23</v>
      </c>
      <c r="C290">
        <v>288.10000000000002</v>
      </c>
      <c r="D290" t="s">
        <v>32</v>
      </c>
    </row>
    <row r="291" spans="1:4" x14ac:dyDescent="0.25">
      <c r="A291">
        <v>46212.564814814818</v>
      </c>
      <c r="B291" t="s">
        <v>23</v>
      </c>
      <c r="C291">
        <v>270.95999999999998</v>
      </c>
      <c r="D291" t="s">
        <v>32</v>
      </c>
    </row>
    <row r="292" spans="1:4" x14ac:dyDescent="0.25">
      <c r="A292">
        <v>46212.56658564815</v>
      </c>
      <c r="B292" t="s">
        <v>23</v>
      </c>
      <c r="C292">
        <v>115.64</v>
      </c>
      <c r="D292" t="s">
        <v>36</v>
      </c>
    </row>
    <row r="293" spans="1:4" x14ac:dyDescent="0.25">
      <c r="A293">
        <v>46212.567152777781</v>
      </c>
      <c r="B293" t="s">
        <v>23</v>
      </c>
      <c r="C293">
        <v>569.55999999999995</v>
      </c>
      <c r="D293" t="s">
        <v>31</v>
      </c>
    </row>
    <row r="294" spans="1:4" x14ac:dyDescent="0.25">
      <c r="A294">
        <v>46212.567928240744</v>
      </c>
      <c r="B294" t="s">
        <v>23</v>
      </c>
      <c r="C294">
        <v>14.52</v>
      </c>
      <c r="D294" t="s">
        <v>32</v>
      </c>
    </row>
    <row r="295" spans="1:4" x14ac:dyDescent="0.25">
      <c r="A295">
        <v>46212.568784722222</v>
      </c>
      <c r="B295" t="s">
        <v>23</v>
      </c>
      <c r="C295">
        <v>97.59</v>
      </c>
      <c r="D295" t="s">
        <v>36</v>
      </c>
    </row>
    <row r="296" spans="1:4" x14ac:dyDescent="0.25">
      <c r="A296">
        <v>46212.569768518515</v>
      </c>
      <c r="B296" t="s">
        <v>23</v>
      </c>
      <c r="C296">
        <v>232.36</v>
      </c>
      <c r="D296" t="s">
        <v>32</v>
      </c>
    </row>
    <row r="297" spans="1:4" x14ac:dyDescent="0.25">
      <c r="A297">
        <v>46212.571203703701</v>
      </c>
      <c r="B297" t="s">
        <v>23</v>
      </c>
      <c r="C297">
        <v>51.8</v>
      </c>
      <c r="D297" t="s">
        <v>31</v>
      </c>
    </row>
    <row r="298" spans="1:4" x14ac:dyDescent="0.25">
      <c r="A298">
        <v>46212.571261574078</v>
      </c>
      <c r="B298" t="s">
        <v>23</v>
      </c>
      <c r="C298">
        <v>200.87</v>
      </c>
      <c r="D298" t="s">
        <v>32</v>
      </c>
    </row>
    <row r="299" spans="1:4" x14ac:dyDescent="0.25">
      <c r="A299">
        <v>46212.571435185186</v>
      </c>
      <c r="B299" t="s">
        <v>23</v>
      </c>
      <c r="C299">
        <v>1180.74</v>
      </c>
      <c r="D299" t="s">
        <v>32</v>
      </c>
    </row>
    <row r="300" spans="1:4" x14ac:dyDescent="0.25">
      <c r="A300">
        <v>46212.571643518517</v>
      </c>
      <c r="B300" t="s">
        <v>23</v>
      </c>
      <c r="C300">
        <v>103.98</v>
      </c>
      <c r="D300" t="s">
        <v>31</v>
      </c>
    </row>
    <row r="301" spans="1:4" x14ac:dyDescent="0.25">
      <c r="A301">
        <v>46212.572013888886</v>
      </c>
      <c r="B301" t="s">
        <v>23</v>
      </c>
      <c r="C301">
        <v>854.13</v>
      </c>
      <c r="D301" t="s">
        <v>31</v>
      </c>
    </row>
    <row r="302" spans="1:4" x14ac:dyDescent="0.25">
      <c r="A302">
        <v>46212.572604166664</v>
      </c>
      <c r="B302" t="s">
        <v>23</v>
      </c>
      <c r="C302">
        <v>147.38</v>
      </c>
      <c r="D302" t="s">
        <v>32</v>
      </c>
    </row>
    <row r="303" spans="1:4" x14ac:dyDescent="0.25">
      <c r="A303">
        <v>46212.573148148149</v>
      </c>
      <c r="B303" t="s">
        <v>23</v>
      </c>
      <c r="C303">
        <v>268.62</v>
      </c>
      <c r="D303" t="s">
        <v>32</v>
      </c>
    </row>
    <row r="304" spans="1:4" x14ac:dyDescent="0.25">
      <c r="A304">
        <v>46212.573298611111</v>
      </c>
      <c r="B304" t="s">
        <v>23</v>
      </c>
      <c r="C304">
        <v>157.21</v>
      </c>
      <c r="D304" t="s">
        <v>32</v>
      </c>
    </row>
    <row r="305" spans="1:4" x14ac:dyDescent="0.25">
      <c r="A305">
        <v>46212.574004629627</v>
      </c>
      <c r="B305" t="s">
        <v>23</v>
      </c>
      <c r="C305">
        <v>226.77</v>
      </c>
      <c r="D305" t="s">
        <v>32</v>
      </c>
    </row>
    <row r="306" spans="1:4" x14ac:dyDescent="0.25">
      <c r="A306">
        <v>46212.57775462963</v>
      </c>
      <c r="B306" t="s">
        <v>23</v>
      </c>
      <c r="C306">
        <v>162.78</v>
      </c>
      <c r="D306" t="s">
        <v>31</v>
      </c>
    </row>
    <row r="307" spans="1:4" x14ac:dyDescent="0.25">
      <c r="A307">
        <v>46212.579201388886</v>
      </c>
      <c r="B307" t="s">
        <v>23</v>
      </c>
      <c r="C307">
        <v>186.83</v>
      </c>
      <c r="D307" t="s">
        <v>31</v>
      </c>
    </row>
    <row r="308" spans="1:4" x14ac:dyDescent="0.25">
      <c r="A308">
        <v>46212.580740740741</v>
      </c>
      <c r="B308" t="s">
        <v>23</v>
      </c>
      <c r="C308">
        <v>15.01</v>
      </c>
      <c r="D308" t="s">
        <v>31</v>
      </c>
    </row>
    <row r="309" spans="1:4" x14ac:dyDescent="0.25">
      <c r="A309">
        <v>46212.582314814812</v>
      </c>
      <c r="B309" t="s">
        <v>23</v>
      </c>
      <c r="C309">
        <v>1495.18</v>
      </c>
      <c r="D309" t="s">
        <v>31</v>
      </c>
    </row>
    <row r="310" spans="1:4" x14ac:dyDescent="0.25">
      <c r="A310">
        <v>46212.583784722221</v>
      </c>
      <c r="B310" t="s">
        <v>23</v>
      </c>
      <c r="C310">
        <v>847.12</v>
      </c>
      <c r="D310" t="s">
        <v>32</v>
      </c>
    </row>
    <row r="311" spans="1:4" x14ac:dyDescent="0.25">
      <c r="A311">
        <v>46212.583958333336</v>
      </c>
      <c r="B311" t="s">
        <v>23</v>
      </c>
      <c r="C311">
        <v>176.82</v>
      </c>
      <c r="D311" t="s">
        <v>32</v>
      </c>
    </row>
    <row r="312" spans="1:4" x14ac:dyDescent="0.25">
      <c r="A312">
        <v>46212.584513888891</v>
      </c>
      <c r="B312" t="s">
        <v>23</v>
      </c>
      <c r="C312">
        <v>128.47</v>
      </c>
      <c r="D312" t="s">
        <v>31</v>
      </c>
    </row>
    <row r="313" spans="1:4" x14ac:dyDescent="0.25">
      <c r="A313">
        <v>46212.585300925923</v>
      </c>
      <c r="B313" t="s">
        <v>23</v>
      </c>
      <c r="C313">
        <v>186.54</v>
      </c>
      <c r="D313" t="s">
        <v>32</v>
      </c>
    </row>
    <row r="314" spans="1:4" x14ac:dyDescent="0.25">
      <c r="A314">
        <v>46212.586331018516</v>
      </c>
      <c r="B314" t="s">
        <v>23</v>
      </c>
      <c r="C314">
        <v>162.31</v>
      </c>
      <c r="D314" t="s">
        <v>32</v>
      </c>
    </row>
    <row r="315" spans="1:4" x14ac:dyDescent="0.25">
      <c r="A315">
        <v>46212.587569444448</v>
      </c>
      <c r="B315" t="s">
        <v>23</v>
      </c>
      <c r="C315">
        <v>875.91</v>
      </c>
      <c r="D315" t="s">
        <v>31</v>
      </c>
    </row>
    <row r="316" spans="1:4" x14ac:dyDescent="0.25">
      <c r="A316">
        <v>46212.588078703702</v>
      </c>
      <c r="B316" t="s">
        <v>23</v>
      </c>
      <c r="C316">
        <v>223.3</v>
      </c>
      <c r="D316" t="s">
        <v>32</v>
      </c>
    </row>
    <row r="317" spans="1:4" x14ac:dyDescent="0.25">
      <c r="A317">
        <v>46212.588645833333</v>
      </c>
      <c r="B317" t="s">
        <v>23</v>
      </c>
      <c r="C317">
        <v>70.48</v>
      </c>
      <c r="D317" t="s">
        <v>32</v>
      </c>
    </row>
    <row r="318" spans="1:4" x14ac:dyDescent="0.25">
      <c r="A318">
        <v>46212.589768518519</v>
      </c>
      <c r="B318" t="s">
        <v>23</v>
      </c>
      <c r="C318">
        <v>47.14</v>
      </c>
      <c r="D318" t="s">
        <v>31</v>
      </c>
    </row>
    <row r="319" spans="1:4" x14ac:dyDescent="0.25">
      <c r="A319">
        <v>46212.590694444443</v>
      </c>
      <c r="B319" t="s">
        <v>23</v>
      </c>
      <c r="C319">
        <v>185.44</v>
      </c>
      <c r="D319" t="s">
        <v>36</v>
      </c>
    </row>
    <row r="320" spans="1:4" x14ac:dyDescent="0.25">
      <c r="A320">
        <v>46212.591354166667</v>
      </c>
      <c r="B320" t="s">
        <v>23</v>
      </c>
      <c r="C320">
        <v>92.1</v>
      </c>
      <c r="D320" t="s">
        <v>32</v>
      </c>
    </row>
    <row r="321" spans="1:4" x14ac:dyDescent="0.25">
      <c r="A321">
        <v>46212.591412037036</v>
      </c>
      <c r="B321" t="s">
        <v>23</v>
      </c>
      <c r="C321">
        <v>291.08999999999997</v>
      </c>
      <c r="D321" t="s">
        <v>32</v>
      </c>
    </row>
    <row r="322" spans="1:4" x14ac:dyDescent="0.25">
      <c r="A322">
        <v>46212.593414351853</v>
      </c>
      <c r="B322" t="s">
        <v>23</v>
      </c>
      <c r="C322">
        <v>34.33</v>
      </c>
      <c r="D322" t="s">
        <v>32</v>
      </c>
    </row>
    <row r="323" spans="1:4" x14ac:dyDescent="0.25">
      <c r="A323">
        <v>46212.594224537039</v>
      </c>
      <c r="B323" t="s">
        <v>23</v>
      </c>
      <c r="C323">
        <v>57.01</v>
      </c>
      <c r="D323" t="s">
        <v>31</v>
      </c>
    </row>
    <row r="324" spans="1:4" x14ac:dyDescent="0.25">
      <c r="A324">
        <v>46212.595532407409</v>
      </c>
      <c r="B324" t="s">
        <v>23</v>
      </c>
      <c r="C324">
        <v>281.5</v>
      </c>
      <c r="D324" t="s">
        <v>32</v>
      </c>
    </row>
    <row r="325" spans="1:4" x14ac:dyDescent="0.25">
      <c r="A325">
        <v>46212.598055555558</v>
      </c>
      <c r="B325" t="s">
        <v>23</v>
      </c>
      <c r="C325">
        <v>126.95</v>
      </c>
      <c r="D325" t="s">
        <v>31</v>
      </c>
    </row>
    <row r="326" spans="1:4" x14ac:dyDescent="0.25">
      <c r="A326">
        <v>46212.598553240743</v>
      </c>
      <c r="B326" t="s">
        <v>23</v>
      </c>
      <c r="C326">
        <v>269.83</v>
      </c>
      <c r="D326" t="s">
        <v>32</v>
      </c>
    </row>
    <row r="327" spans="1:4" x14ac:dyDescent="0.25">
      <c r="A327">
        <v>46212.599675925929</v>
      </c>
      <c r="B327" t="s">
        <v>23</v>
      </c>
      <c r="C327">
        <v>762.45</v>
      </c>
      <c r="D327" t="s">
        <v>32</v>
      </c>
    </row>
    <row r="328" spans="1:4" x14ac:dyDescent="0.25">
      <c r="A328">
        <v>46212.601597222223</v>
      </c>
      <c r="B328" t="s">
        <v>23</v>
      </c>
      <c r="C328">
        <v>1279.3399999999999</v>
      </c>
      <c r="D328" t="s">
        <v>31</v>
      </c>
    </row>
    <row r="329" spans="1:4" x14ac:dyDescent="0.25">
      <c r="A329">
        <v>46212.602071759262</v>
      </c>
      <c r="B329" t="s">
        <v>23</v>
      </c>
      <c r="C329">
        <v>609.79999999999995</v>
      </c>
      <c r="D329" t="s">
        <v>36</v>
      </c>
    </row>
    <row r="330" spans="1:4" x14ac:dyDescent="0.25">
      <c r="A330">
        <v>46212.602812500001</v>
      </c>
      <c r="B330" t="s">
        <v>23</v>
      </c>
      <c r="C330">
        <v>191.72</v>
      </c>
      <c r="D330" t="s">
        <v>32</v>
      </c>
    </row>
    <row r="331" spans="1:4" x14ac:dyDescent="0.25">
      <c r="A331">
        <v>46212.604733796295</v>
      </c>
      <c r="B331" t="s">
        <v>23</v>
      </c>
      <c r="C331">
        <v>193</v>
      </c>
      <c r="D331" t="s">
        <v>32</v>
      </c>
    </row>
    <row r="332" spans="1:4" x14ac:dyDescent="0.25">
      <c r="A332">
        <v>46212.605624999997</v>
      </c>
      <c r="B332" t="s">
        <v>23</v>
      </c>
      <c r="C332">
        <v>271.3</v>
      </c>
      <c r="D332" t="s">
        <v>32</v>
      </c>
    </row>
    <row r="333" spans="1:4" x14ac:dyDescent="0.25">
      <c r="A333">
        <v>46212.607638888891</v>
      </c>
      <c r="B333" t="s">
        <v>23</v>
      </c>
      <c r="C333">
        <v>158.54</v>
      </c>
      <c r="D333" t="s">
        <v>36</v>
      </c>
    </row>
    <row r="334" spans="1:4" x14ac:dyDescent="0.25">
      <c r="A334">
        <v>46212.607905092591</v>
      </c>
      <c r="B334" t="s">
        <v>23</v>
      </c>
      <c r="C334">
        <v>169.45</v>
      </c>
      <c r="D334" t="s">
        <v>32</v>
      </c>
    </row>
    <row r="335" spans="1:4" x14ac:dyDescent="0.25">
      <c r="A335">
        <v>46212.608657407407</v>
      </c>
      <c r="B335" t="s">
        <v>23</v>
      </c>
      <c r="C335">
        <v>64.510000000000005</v>
      </c>
      <c r="D335" t="s">
        <v>36</v>
      </c>
    </row>
    <row r="336" spans="1:4" x14ac:dyDescent="0.25">
      <c r="A336">
        <v>46212.609594907408</v>
      </c>
      <c r="B336" t="s">
        <v>23</v>
      </c>
      <c r="C336">
        <v>25.81</v>
      </c>
      <c r="D336" t="s">
        <v>31</v>
      </c>
    </row>
    <row r="337" spans="1:4" x14ac:dyDescent="0.25">
      <c r="A337">
        <v>46212.609918981485</v>
      </c>
      <c r="B337" t="s">
        <v>23</v>
      </c>
      <c r="C337">
        <v>183.81</v>
      </c>
      <c r="D337" t="s">
        <v>31</v>
      </c>
    </row>
    <row r="338" spans="1:4" x14ac:dyDescent="0.25">
      <c r="A338">
        <v>46212.61005787037</v>
      </c>
      <c r="B338" t="s">
        <v>23</v>
      </c>
      <c r="C338">
        <v>21.1</v>
      </c>
      <c r="D338" t="s">
        <v>31</v>
      </c>
    </row>
    <row r="339" spans="1:4" x14ac:dyDescent="0.25">
      <c r="A339">
        <v>46212.613379629627</v>
      </c>
      <c r="B339" t="s">
        <v>23</v>
      </c>
      <c r="C339">
        <v>209.77</v>
      </c>
      <c r="D339" t="s">
        <v>32</v>
      </c>
    </row>
    <row r="340" spans="1:4" x14ac:dyDescent="0.25">
      <c r="A340">
        <v>46212.613622685189</v>
      </c>
      <c r="B340" t="s">
        <v>23</v>
      </c>
      <c r="C340">
        <v>391.07</v>
      </c>
      <c r="D340" t="s">
        <v>32</v>
      </c>
    </row>
    <row r="341" spans="1:4" x14ac:dyDescent="0.25">
      <c r="A341">
        <v>46212.614120370374</v>
      </c>
      <c r="B341" t="s">
        <v>23</v>
      </c>
      <c r="C341">
        <v>119.74</v>
      </c>
      <c r="D341" t="s">
        <v>36</v>
      </c>
    </row>
    <row r="342" spans="1:4" x14ac:dyDescent="0.25">
      <c r="A342">
        <v>46212.616574074076</v>
      </c>
      <c r="B342" t="s">
        <v>23</v>
      </c>
      <c r="C342">
        <v>263.27</v>
      </c>
      <c r="D342" t="s">
        <v>32</v>
      </c>
    </row>
    <row r="343" spans="1:4" x14ac:dyDescent="0.25">
      <c r="A343">
        <v>46212.616944444446</v>
      </c>
      <c r="B343" t="s">
        <v>23</v>
      </c>
      <c r="C343">
        <v>396.83</v>
      </c>
      <c r="D343" t="s">
        <v>31</v>
      </c>
    </row>
    <row r="344" spans="1:4" x14ac:dyDescent="0.25">
      <c r="A344">
        <v>46212.620451388888</v>
      </c>
      <c r="B344" t="s">
        <v>23</v>
      </c>
      <c r="C344">
        <v>130.96</v>
      </c>
      <c r="D344" t="s">
        <v>36</v>
      </c>
    </row>
    <row r="345" spans="1:4" x14ac:dyDescent="0.25">
      <c r="A345">
        <v>46212.620787037034</v>
      </c>
      <c r="B345" t="s">
        <v>23</v>
      </c>
      <c r="C345">
        <v>149.94999999999999</v>
      </c>
      <c r="D345" t="s">
        <v>31</v>
      </c>
    </row>
    <row r="346" spans="1:4" x14ac:dyDescent="0.25">
      <c r="A346">
        <v>46212.62091435185</v>
      </c>
      <c r="B346" t="s">
        <v>23</v>
      </c>
      <c r="C346">
        <v>186.16</v>
      </c>
      <c r="D346" t="s">
        <v>32</v>
      </c>
    </row>
    <row r="347" spans="1:4" x14ac:dyDescent="0.25">
      <c r="A347">
        <v>46212.621145833335</v>
      </c>
      <c r="B347" t="s">
        <v>23</v>
      </c>
      <c r="C347">
        <v>186.51</v>
      </c>
      <c r="D347" t="s">
        <v>32</v>
      </c>
    </row>
    <row r="348" spans="1:4" x14ac:dyDescent="0.25">
      <c r="A348">
        <v>46212.621504629627</v>
      </c>
      <c r="B348" t="s">
        <v>23</v>
      </c>
      <c r="C348">
        <v>209.99</v>
      </c>
      <c r="D348" t="s">
        <v>31</v>
      </c>
    </row>
    <row r="349" spans="1:4" x14ac:dyDescent="0.25">
      <c r="A349">
        <v>46212.621655092589</v>
      </c>
      <c r="B349" t="s">
        <v>23</v>
      </c>
      <c r="C349">
        <v>366.91</v>
      </c>
      <c r="D349" t="s">
        <v>31</v>
      </c>
    </row>
    <row r="350" spans="1:4" x14ac:dyDescent="0.25">
      <c r="A350">
        <v>46212.622789351852</v>
      </c>
      <c r="B350" t="s">
        <v>23</v>
      </c>
      <c r="C350">
        <v>205.16</v>
      </c>
      <c r="D350" t="s">
        <v>32</v>
      </c>
    </row>
    <row r="351" spans="1:4" x14ac:dyDescent="0.25">
      <c r="A351">
        <v>46212.623495370368</v>
      </c>
      <c r="B351" t="s">
        <v>23</v>
      </c>
      <c r="C351">
        <v>800.66</v>
      </c>
      <c r="D351" t="s">
        <v>32</v>
      </c>
    </row>
    <row r="352" spans="1:4" x14ac:dyDescent="0.25">
      <c r="A352">
        <v>46212.624583333331</v>
      </c>
      <c r="B352" t="s">
        <v>23</v>
      </c>
      <c r="C352">
        <v>31.58</v>
      </c>
      <c r="D352" t="s">
        <v>31</v>
      </c>
    </row>
    <row r="353" spans="1:4" x14ac:dyDescent="0.25">
      <c r="A353">
        <v>46212.625185185185</v>
      </c>
      <c r="B353" t="s">
        <v>23</v>
      </c>
      <c r="C353">
        <v>137.1</v>
      </c>
      <c r="D353" t="s">
        <v>31</v>
      </c>
    </row>
    <row r="354" spans="1:4" x14ac:dyDescent="0.25">
      <c r="A354">
        <v>46212.625509259262</v>
      </c>
      <c r="B354" t="s">
        <v>23</v>
      </c>
      <c r="C354">
        <v>251.19</v>
      </c>
      <c r="D354" t="s">
        <v>32</v>
      </c>
    </row>
    <row r="355" spans="1:4" x14ac:dyDescent="0.25">
      <c r="A355">
        <v>46212.629467592589</v>
      </c>
      <c r="B355" t="s">
        <v>23</v>
      </c>
      <c r="C355">
        <v>108.54</v>
      </c>
      <c r="D355" t="s">
        <v>31</v>
      </c>
    </row>
    <row r="356" spans="1:4" x14ac:dyDescent="0.25">
      <c r="A356">
        <v>46212.633425925924</v>
      </c>
      <c r="B356" t="s">
        <v>23</v>
      </c>
      <c r="C356">
        <v>767.68</v>
      </c>
      <c r="D356" t="s">
        <v>32</v>
      </c>
    </row>
    <row r="357" spans="1:4" x14ac:dyDescent="0.25">
      <c r="A357">
        <v>46212.63354166667</v>
      </c>
      <c r="B357" t="s">
        <v>23</v>
      </c>
      <c r="C357">
        <v>57.24</v>
      </c>
      <c r="D357" t="s">
        <v>32</v>
      </c>
    </row>
    <row r="358" spans="1:4" x14ac:dyDescent="0.25">
      <c r="A358">
        <v>46212.635567129626</v>
      </c>
      <c r="B358" t="s">
        <v>23</v>
      </c>
      <c r="C358">
        <v>103.75</v>
      </c>
      <c r="D358" t="s">
        <v>36</v>
      </c>
    </row>
    <row r="359" spans="1:4" x14ac:dyDescent="0.25">
      <c r="A359">
        <v>46212.635972222219</v>
      </c>
      <c r="B359" t="s">
        <v>23</v>
      </c>
      <c r="C359">
        <v>237.15</v>
      </c>
      <c r="D359" t="s">
        <v>36</v>
      </c>
    </row>
    <row r="360" spans="1:4" x14ac:dyDescent="0.25">
      <c r="A360">
        <v>46212.636284722219</v>
      </c>
      <c r="B360" t="s">
        <v>23</v>
      </c>
      <c r="C360">
        <v>1301.06</v>
      </c>
      <c r="D360" t="s">
        <v>32</v>
      </c>
    </row>
    <row r="361" spans="1:4" x14ac:dyDescent="0.25">
      <c r="A361">
        <v>46212.636469907404</v>
      </c>
      <c r="B361" t="s">
        <v>23</v>
      </c>
      <c r="C361">
        <v>240.32</v>
      </c>
      <c r="D361" t="s">
        <v>31</v>
      </c>
    </row>
    <row r="362" spans="1:4" x14ac:dyDescent="0.25">
      <c r="A362">
        <v>46212.636493055557</v>
      </c>
      <c r="B362" t="s">
        <v>23</v>
      </c>
      <c r="C362">
        <v>757.96</v>
      </c>
      <c r="D362" t="s">
        <v>32</v>
      </c>
    </row>
    <row r="363" spans="1:4" x14ac:dyDescent="0.25">
      <c r="A363">
        <v>46212.637523148151</v>
      </c>
      <c r="B363" t="s">
        <v>23</v>
      </c>
      <c r="C363">
        <v>164.62</v>
      </c>
      <c r="D363" t="s">
        <v>31</v>
      </c>
    </row>
    <row r="364" spans="1:4" x14ac:dyDescent="0.25">
      <c r="A364">
        <v>46212.637615740743</v>
      </c>
      <c r="B364" t="s">
        <v>23</v>
      </c>
      <c r="C364">
        <v>222.7</v>
      </c>
      <c r="D364" t="s">
        <v>31</v>
      </c>
    </row>
    <row r="365" spans="1:4" x14ac:dyDescent="0.25">
      <c r="A365">
        <v>46212.638553240744</v>
      </c>
      <c r="B365" t="s">
        <v>23</v>
      </c>
      <c r="C365">
        <v>233.78</v>
      </c>
      <c r="D365" t="s">
        <v>31</v>
      </c>
    </row>
    <row r="366" spans="1:4" x14ac:dyDescent="0.25">
      <c r="A366">
        <v>46212.638726851852</v>
      </c>
      <c r="B366" t="s">
        <v>23</v>
      </c>
      <c r="C366">
        <v>213.46</v>
      </c>
      <c r="D366" t="s">
        <v>32</v>
      </c>
    </row>
    <row r="367" spans="1:4" x14ac:dyDescent="0.25">
      <c r="A367">
        <v>46212.639594907407</v>
      </c>
      <c r="B367" t="s">
        <v>23</v>
      </c>
      <c r="C367">
        <v>685.61</v>
      </c>
      <c r="D367" t="s">
        <v>32</v>
      </c>
    </row>
    <row r="368" spans="1:4" x14ac:dyDescent="0.25">
      <c r="A368">
        <v>46212.641342592593</v>
      </c>
      <c r="B368" t="s">
        <v>23</v>
      </c>
      <c r="C368">
        <v>506.43</v>
      </c>
      <c r="D368" t="s">
        <v>31</v>
      </c>
    </row>
    <row r="369" spans="1:4" x14ac:dyDescent="0.25">
      <c r="A369">
        <v>46212.641574074078</v>
      </c>
      <c r="B369" t="s">
        <v>23</v>
      </c>
      <c r="C369">
        <v>120.98</v>
      </c>
      <c r="D369" t="s">
        <v>32</v>
      </c>
    </row>
    <row r="370" spans="1:4" x14ac:dyDescent="0.25">
      <c r="A370">
        <v>46212.642094907409</v>
      </c>
      <c r="B370" t="s">
        <v>23</v>
      </c>
      <c r="C370">
        <v>1348.08</v>
      </c>
      <c r="D370" t="s">
        <v>31</v>
      </c>
    </row>
    <row r="371" spans="1:4" x14ac:dyDescent="0.25">
      <c r="A371">
        <v>46212.643101851849</v>
      </c>
      <c r="B371" t="s">
        <v>23</v>
      </c>
      <c r="C371">
        <v>189.45</v>
      </c>
      <c r="D371" t="s">
        <v>32</v>
      </c>
    </row>
    <row r="372" spans="1:4" x14ac:dyDescent="0.25">
      <c r="A372">
        <v>46212.645150462966</v>
      </c>
      <c r="B372" t="s">
        <v>23</v>
      </c>
      <c r="C372">
        <v>207.58</v>
      </c>
      <c r="D372" t="s">
        <v>36</v>
      </c>
    </row>
    <row r="373" spans="1:4" x14ac:dyDescent="0.25">
      <c r="A373">
        <v>46212.645624999997</v>
      </c>
      <c r="B373" t="s">
        <v>23</v>
      </c>
      <c r="C373">
        <v>113</v>
      </c>
      <c r="D373" t="s">
        <v>32</v>
      </c>
    </row>
    <row r="374" spans="1:4" x14ac:dyDescent="0.25">
      <c r="A374">
        <v>46212.646064814813</v>
      </c>
      <c r="B374" t="s">
        <v>23</v>
      </c>
      <c r="C374">
        <v>262.91000000000003</v>
      </c>
      <c r="D374" t="s">
        <v>32</v>
      </c>
    </row>
    <row r="375" spans="1:4" x14ac:dyDescent="0.25">
      <c r="A375">
        <v>46212.647685185184</v>
      </c>
      <c r="B375" t="s">
        <v>23</v>
      </c>
      <c r="C375">
        <v>701.22</v>
      </c>
      <c r="D375" t="s">
        <v>31</v>
      </c>
    </row>
    <row r="376" spans="1:4" x14ac:dyDescent="0.25">
      <c r="A376">
        <v>46212.651319444441</v>
      </c>
      <c r="B376" t="s">
        <v>23</v>
      </c>
      <c r="C376">
        <v>119.35</v>
      </c>
      <c r="D376" t="s">
        <v>32</v>
      </c>
    </row>
    <row r="377" spans="1:4" x14ac:dyDescent="0.25">
      <c r="A377">
        <v>46212.651539351849</v>
      </c>
      <c r="B377" t="s">
        <v>23</v>
      </c>
      <c r="C377">
        <v>212.76</v>
      </c>
      <c r="D377" t="s">
        <v>32</v>
      </c>
    </row>
    <row r="378" spans="1:4" x14ac:dyDescent="0.25">
      <c r="A378">
        <v>46212.652245370373</v>
      </c>
      <c r="B378" t="s">
        <v>23</v>
      </c>
      <c r="C378">
        <v>260.49</v>
      </c>
      <c r="D378" t="s">
        <v>31</v>
      </c>
    </row>
    <row r="379" spans="1:4" x14ac:dyDescent="0.25">
      <c r="A379">
        <v>46212.653333333335</v>
      </c>
      <c r="B379" t="s">
        <v>23</v>
      </c>
      <c r="C379">
        <v>92.59</v>
      </c>
      <c r="D379" t="s">
        <v>36</v>
      </c>
    </row>
    <row r="380" spans="1:4" x14ac:dyDescent="0.25">
      <c r="A380">
        <v>46212.653368055559</v>
      </c>
      <c r="B380" t="s">
        <v>23</v>
      </c>
      <c r="C380">
        <v>102.2</v>
      </c>
      <c r="D380" t="s">
        <v>31</v>
      </c>
    </row>
    <row r="381" spans="1:4" x14ac:dyDescent="0.25">
      <c r="A381">
        <v>46212.653541666667</v>
      </c>
      <c r="B381" t="s">
        <v>23</v>
      </c>
      <c r="C381">
        <v>103.28</v>
      </c>
      <c r="D381" t="s">
        <v>32</v>
      </c>
    </row>
    <row r="382" spans="1:4" x14ac:dyDescent="0.25">
      <c r="A382">
        <v>46212.65388888889</v>
      </c>
      <c r="B382" t="s">
        <v>23</v>
      </c>
      <c r="C382">
        <v>194.76</v>
      </c>
      <c r="D382" t="s">
        <v>32</v>
      </c>
    </row>
    <row r="383" spans="1:4" x14ac:dyDescent="0.25">
      <c r="A383">
        <v>46212.654189814813</v>
      </c>
      <c r="B383" t="s">
        <v>23</v>
      </c>
      <c r="C383">
        <v>237.4</v>
      </c>
      <c r="D383" t="s">
        <v>31</v>
      </c>
    </row>
    <row r="384" spans="1:4" x14ac:dyDescent="0.25">
      <c r="A384">
        <v>46212.654282407406</v>
      </c>
      <c r="B384" t="s">
        <v>23</v>
      </c>
      <c r="C384">
        <v>390.41</v>
      </c>
      <c r="D384" t="s">
        <v>31</v>
      </c>
    </row>
    <row r="385" spans="1:4" x14ac:dyDescent="0.25">
      <c r="A385">
        <v>46212.654618055552</v>
      </c>
      <c r="B385" t="s">
        <v>23</v>
      </c>
      <c r="C385">
        <v>39.43</v>
      </c>
      <c r="D385" t="s">
        <v>32</v>
      </c>
    </row>
    <row r="386" spans="1:4" x14ac:dyDescent="0.25">
      <c r="A386">
        <v>46212.654618055552</v>
      </c>
      <c r="B386" t="s">
        <v>23</v>
      </c>
      <c r="C386">
        <v>266.83</v>
      </c>
      <c r="D386" t="s">
        <v>36</v>
      </c>
    </row>
    <row r="387" spans="1:4" x14ac:dyDescent="0.25">
      <c r="A387">
        <v>46212.655810185184</v>
      </c>
      <c r="B387" t="s">
        <v>23</v>
      </c>
      <c r="C387">
        <v>79.25</v>
      </c>
      <c r="D387" t="s">
        <v>32</v>
      </c>
    </row>
    <row r="388" spans="1:4" x14ac:dyDescent="0.25">
      <c r="A388">
        <v>46212.657013888886</v>
      </c>
      <c r="B388" t="s">
        <v>23</v>
      </c>
      <c r="C388">
        <v>87.34</v>
      </c>
      <c r="D388" t="s">
        <v>31</v>
      </c>
    </row>
    <row r="389" spans="1:4" x14ac:dyDescent="0.25">
      <c r="A389">
        <v>46212.657731481479</v>
      </c>
      <c r="B389" t="s">
        <v>23</v>
      </c>
      <c r="C389">
        <v>276.22000000000003</v>
      </c>
      <c r="D389" t="s">
        <v>31</v>
      </c>
    </row>
    <row r="390" spans="1:4" x14ac:dyDescent="0.25">
      <c r="A390">
        <v>46212.65829861111</v>
      </c>
      <c r="B390" t="s">
        <v>23</v>
      </c>
      <c r="C390">
        <v>64.239999999999995</v>
      </c>
      <c r="D390" t="s">
        <v>31</v>
      </c>
    </row>
    <row r="391" spans="1:4" x14ac:dyDescent="0.25">
      <c r="A391">
        <v>46212.659328703703</v>
      </c>
      <c r="B391" t="s">
        <v>23</v>
      </c>
      <c r="C391">
        <v>718.85</v>
      </c>
      <c r="D391" t="s">
        <v>32</v>
      </c>
    </row>
    <row r="392" spans="1:4" x14ac:dyDescent="0.25">
      <c r="A392">
        <v>46212.659409722219</v>
      </c>
      <c r="B392" t="s">
        <v>23</v>
      </c>
      <c r="C392">
        <v>389.63</v>
      </c>
      <c r="D392" t="s">
        <v>31</v>
      </c>
    </row>
    <row r="393" spans="1:4" x14ac:dyDescent="0.25">
      <c r="A393">
        <v>46212.66028935185</v>
      </c>
      <c r="B393" t="s">
        <v>23</v>
      </c>
      <c r="C393">
        <v>160.44</v>
      </c>
      <c r="D393" t="s">
        <v>31</v>
      </c>
    </row>
    <row r="394" spans="1:4" x14ac:dyDescent="0.25">
      <c r="A394">
        <v>46212.660474537035</v>
      </c>
      <c r="B394" t="s">
        <v>23</v>
      </c>
      <c r="C394">
        <v>106.01</v>
      </c>
      <c r="D394" t="s">
        <v>31</v>
      </c>
    </row>
    <row r="395" spans="1:4" x14ac:dyDescent="0.25">
      <c r="A395">
        <v>46212.662951388891</v>
      </c>
      <c r="B395" t="s">
        <v>23</v>
      </c>
      <c r="C395">
        <v>74.77</v>
      </c>
      <c r="D395" t="s">
        <v>32</v>
      </c>
    </row>
    <row r="396" spans="1:4" x14ac:dyDescent="0.25">
      <c r="A396">
        <v>46212.663101851853</v>
      </c>
      <c r="B396" t="s">
        <v>23</v>
      </c>
      <c r="C396">
        <v>388.57</v>
      </c>
      <c r="D396" t="s">
        <v>32</v>
      </c>
    </row>
    <row r="397" spans="1:4" x14ac:dyDescent="0.25">
      <c r="A397">
        <v>46212.664085648146</v>
      </c>
      <c r="B397" t="s">
        <v>23</v>
      </c>
      <c r="C397">
        <v>48.24</v>
      </c>
      <c r="D397" t="s">
        <v>31</v>
      </c>
    </row>
    <row r="398" spans="1:4" x14ac:dyDescent="0.25">
      <c r="A398">
        <v>46212.664340277777</v>
      </c>
      <c r="B398" t="s">
        <v>23</v>
      </c>
      <c r="C398">
        <v>22.29</v>
      </c>
      <c r="D398" t="s">
        <v>32</v>
      </c>
    </row>
    <row r="399" spans="1:4" x14ac:dyDescent="0.25">
      <c r="A399">
        <v>46212.665636574071</v>
      </c>
      <c r="B399" t="s">
        <v>23</v>
      </c>
      <c r="C399">
        <v>252.1</v>
      </c>
      <c r="D399" t="s">
        <v>32</v>
      </c>
    </row>
    <row r="400" spans="1:4" x14ac:dyDescent="0.25">
      <c r="A400">
        <v>46212.665694444448</v>
      </c>
      <c r="B400" t="s">
        <v>23</v>
      </c>
      <c r="C400">
        <v>250.58</v>
      </c>
      <c r="D400" t="s">
        <v>32</v>
      </c>
    </row>
    <row r="401" spans="1:4" x14ac:dyDescent="0.25">
      <c r="A401">
        <v>46212.666979166665</v>
      </c>
      <c r="B401" t="s">
        <v>23</v>
      </c>
      <c r="C401">
        <v>91.19</v>
      </c>
      <c r="D401" t="s">
        <v>36</v>
      </c>
    </row>
    <row r="402" spans="1:4" x14ac:dyDescent="0.25">
      <c r="A402">
        <v>46212.668425925927</v>
      </c>
      <c r="B402" t="s">
        <v>23</v>
      </c>
      <c r="C402">
        <v>20.78</v>
      </c>
      <c r="D402" t="s">
        <v>32</v>
      </c>
    </row>
    <row r="403" spans="1:4" x14ac:dyDescent="0.25">
      <c r="A403">
        <v>46212.66847222222</v>
      </c>
      <c r="B403" t="s">
        <v>23</v>
      </c>
      <c r="C403">
        <v>626.75</v>
      </c>
      <c r="D403" t="s">
        <v>32</v>
      </c>
    </row>
    <row r="404" spans="1:4" x14ac:dyDescent="0.25">
      <c r="A404">
        <v>46212.668715277781</v>
      </c>
      <c r="B404" t="s">
        <v>23</v>
      </c>
      <c r="C404">
        <v>395.66</v>
      </c>
      <c r="D404" t="s">
        <v>31</v>
      </c>
    </row>
    <row r="405" spans="1:4" x14ac:dyDescent="0.25">
      <c r="A405">
        <v>46212.669027777774</v>
      </c>
      <c r="B405" t="s">
        <v>23</v>
      </c>
      <c r="C405">
        <v>1035.49</v>
      </c>
      <c r="D405" t="s">
        <v>31</v>
      </c>
    </row>
    <row r="406" spans="1:4" x14ac:dyDescent="0.25">
      <c r="A406">
        <v>46212.669456018521</v>
      </c>
      <c r="B406" t="s">
        <v>23</v>
      </c>
      <c r="C406">
        <v>183.29</v>
      </c>
      <c r="D406" t="s">
        <v>36</v>
      </c>
    </row>
    <row r="407" spans="1:4" x14ac:dyDescent="0.25">
      <c r="A407">
        <v>46212.6715625</v>
      </c>
      <c r="B407" t="s">
        <v>23</v>
      </c>
      <c r="C407">
        <v>220.04</v>
      </c>
      <c r="D407" t="s">
        <v>32</v>
      </c>
    </row>
    <row r="408" spans="1:4" x14ac:dyDescent="0.25">
      <c r="A408">
        <v>46212.673611111109</v>
      </c>
      <c r="B408" t="s">
        <v>23</v>
      </c>
      <c r="C408">
        <v>323.89</v>
      </c>
      <c r="D408" t="s">
        <v>32</v>
      </c>
    </row>
    <row r="409" spans="1:4" x14ac:dyDescent="0.25">
      <c r="A409">
        <v>46212.674062500002</v>
      </c>
      <c r="B409" t="s">
        <v>23</v>
      </c>
      <c r="C409">
        <v>270.33</v>
      </c>
      <c r="D409" t="s">
        <v>31</v>
      </c>
    </row>
    <row r="410" spans="1:4" x14ac:dyDescent="0.25">
      <c r="A410">
        <v>46212.674710648149</v>
      </c>
      <c r="B410" t="s">
        <v>23</v>
      </c>
      <c r="C410">
        <v>97.1</v>
      </c>
      <c r="D410" t="s">
        <v>32</v>
      </c>
    </row>
    <row r="411" spans="1:4" x14ac:dyDescent="0.25">
      <c r="A411">
        <v>46212.675787037035</v>
      </c>
      <c r="B411" t="s">
        <v>23</v>
      </c>
      <c r="C411">
        <v>191.81</v>
      </c>
      <c r="D411" t="s">
        <v>36</v>
      </c>
    </row>
    <row r="412" spans="1:4" x14ac:dyDescent="0.25">
      <c r="A412">
        <v>46212.677245370367</v>
      </c>
      <c r="B412" t="s">
        <v>23</v>
      </c>
      <c r="C412">
        <v>34.6</v>
      </c>
      <c r="D412" t="s">
        <v>32</v>
      </c>
    </row>
    <row r="413" spans="1:4" x14ac:dyDescent="0.25">
      <c r="A413">
        <v>46212.677488425928</v>
      </c>
      <c r="B413" t="s">
        <v>23</v>
      </c>
      <c r="C413">
        <v>93.79</v>
      </c>
      <c r="D413" t="s">
        <v>32</v>
      </c>
    </row>
    <row r="414" spans="1:4" x14ac:dyDescent="0.25">
      <c r="A414">
        <v>46212.678460648145</v>
      </c>
      <c r="B414" t="s">
        <v>23</v>
      </c>
      <c r="C414">
        <v>250.81</v>
      </c>
      <c r="D414" t="s">
        <v>31</v>
      </c>
    </row>
    <row r="415" spans="1:4" x14ac:dyDescent="0.25">
      <c r="A415">
        <v>46212.678773148145</v>
      </c>
      <c r="B415" t="s">
        <v>23</v>
      </c>
      <c r="C415">
        <v>44.64</v>
      </c>
      <c r="D415" t="s">
        <v>31</v>
      </c>
    </row>
    <row r="416" spans="1:4" x14ac:dyDescent="0.25">
      <c r="A416">
        <v>46212.679560185185</v>
      </c>
      <c r="B416" t="s">
        <v>23</v>
      </c>
      <c r="C416">
        <v>243.66</v>
      </c>
      <c r="D416" t="s">
        <v>31</v>
      </c>
    </row>
    <row r="417" spans="1:4" x14ac:dyDescent="0.25">
      <c r="A417">
        <v>46212.680138888885</v>
      </c>
      <c r="B417" t="s">
        <v>23</v>
      </c>
      <c r="C417">
        <v>188.37</v>
      </c>
      <c r="D417" t="s">
        <v>32</v>
      </c>
    </row>
    <row r="418" spans="1:4" x14ac:dyDescent="0.25">
      <c r="A418">
        <v>46212.680949074071</v>
      </c>
      <c r="B418" t="s">
        <v>23</v>
      </c>
      <c r="C418">
        <v>16.350000000000001</v>
      </c>
      <c r="D418" t="s">
        <v>31</v>
      </c>
    </row>
    <row r="419" spans="1:4" x14ac:dyDescent="0.25">
      <c r="A419">
        <v>46212.681377314817</v>
      </c>
      <c r="B419" t="s">
        <v>23</v>
      </c>
      <c r="C419">
        <v>51.07</v>
      </c>
      <c r="D419" t="s">
        <v>32</v>
      </c>
    </row>
    <row r="420" spans="1:4" x14ac:dyDescent="0.25">
      <c r="A420">
        <v>46212.681805555556</v>
      </c>
      <c r="B420" t="s">
        <v>23</v>
      </c>
      <c r="C420">
        <v>12.54</v>
      </c>
      <c r="D420" t="s">
        <v>32</v>
      </c>
    </row>
    <row r="421" spans="1:4" x14ac:dyDescent="0.25">
      <c r="A421">
        <v>46212.682476851849</v>
      </c>
      <c r="B421" t="s">
        <v>23</v>
      </c>
      <c r="C421">
        <v>197.73</v>
      </c>
      <c r="D421" t="s">
        <v>31</v>
      </c>
    </row>
    <row r="422" spans="1:4" x14ac:dyDescent="0.25">
      <c r="A422">
        <v>46212.683958333335</v>
      </c>
      <c r="B422" t="s">
        <v>23</v>
      </c>
      <c r="C422">
        <v>14.75</v>
      </c>
      <c r="D422" t="s">
        <v>31</v>
      </c>
    </row>
    <row r="423" spans="1:4" x14ac:dyDescent="0.25">
      <c r="A423">
        <v>46212.684236111112</v>
      </c>
      <c r="B423" t="s">
        <v>23</v>
      </c>
      <c r="C423">
        <v>297.70999999999998</v>
      </c>
      <c r="D423" t="s">
        <v>32</v>
      </c>
    </row>
    <row r="424" spans="1:4" x14ac:dyDescent="0.25">
      <c r="A424">
        <v>46212.685694444444</v>
      </c>
      <c r="B424" t="s">
        <v>23</v>
      </c>
      <c r="C424">
        <v>231.01</v>
      </c>
      <c r="D424" t="s">
        <v>31</v>
      </c>
    </row>
    <row r="425" spans="1:4" x14ac:dyDescent="0.25">
      <c r="A425">
        <v>46212.685763888891</v>
      </c>
      <c r="B425" t="s">
        <v>23</v>
      </c>
      <c r="C425">
        <v>117.91</v>
      </c>
      <c r="D425" t="s">
        <v>31</v>
      </c>
    </row>
    <row r="426" spans="1:4" x14ac:dyDescent="0.25">
      <c r="A426">
        <v>46212.686030092591</v>
      </c>
      <c r="B426" t="s">
        <v>23</v>
      </c>
      <c r="C426">
        <v>431.37</v>
      </c>
      <c r="D426" t="s">
        <v>31</v>
      </c>
    </row>
    <row r="427" spans="1:4" x14ac:dyDescent="0.25">
      <c r="A427">
        <v>46212.687569444446</v>
      </c>
      <c r="B427" t="s">
        <v>23</v>
      </c>
      <c r="C427">
        <v>471.88</v>
      </c>
      <c r="D427" t="s">
        <v>31</v>
      </c>
    </row>
    <row r="428" spans="1:4" x14ac:dyDescent="0.25">
      <c r="A428">
        <v>46212.688356481478</v>
      </c>
      <c r="B428" t="s">
        <v>23</v>
      </c>
      <c r="C428">
        <v>179.03</v>
      </c>
      <c r="D428" t="s">
        <v>31</v>
      </c>
    </row>
    <row r="429" spans="1:4" x14ac:dyDescent="0.25">
      <c r="A429">
        <v>46212.690358796295</v>
      </c>
      <c r="B429" t="s">
        <v>23</v>
      </c>
      <c r="C429">
        <v>214.64</v>
      </c>
      <c r="D429" t="s">
        <v>32</v>
      </c>
    </row>
    <row r="430" spans="1:4" x14ac:dyDescent="0.25">
      <c r="A430">
        <v>46212.691851851851</v>
      </c>
      <c r="B430" t="s">
        <v>23</v>
      </c>
      <c r="C430">
        <v>110.07</v>
      </c>
      <c r="D430" t="s">
        <v>31</v>
      </c>
    </row>
    <row r="431" spans="1:4" x14ac:dyDescent="0.25">
      <c r="A431">
        <v>46212.692083333335</v>
      </c>
      <c r="B431" t="s">
        <v>23</v>
      </c>
      <c r="C431">
        <v>131.18</v>
      </c>
      <c r="D431" t="s">
        <v>36</v>
      </c>
    </row>
    <row r="432" spans="1:4" x14ac:dyDescent="0.25">
      <c r="A432">
        <v>46212.692245370374</v>
      </c>
      <c r="B432" t="s">
        <v>23</v>
      </c>
      <c r="C432">
        <v>15.2</v>
      </c>
      <c r="D432" t="s">
        <v>36</v>
      </c>
    </row>
    <row r="433" spans="1:4" x14ac:dyDescent="0.25">
      <c r="A433">
        <v>46212.693379629629</v>
      </c>
      <c r="B433" t="s">
        <v>23</v>
      </c>
      <c r="C433">
        <v>627.92999999999995</v>
      </c>
      <c r="D433" t="s">
        <v>31</v>
      </c>
    </row>
    <row r="434" spans="1:4" x14ac:dyDescent="0.25">
      <c r="A434">
        <v>46212.693726851852</v>
      </c>
      <c r="B434" t="s">
        <v>23</v>
      </c>
      <c r="C434">
        <v>56.94</v>
      </c>
      <c r="D434" t="s">
        <v>32</v>
      </c>
    </row>
    <row r="435" spans="1:4" x14ac:dyDescent="0.25">
      <c r="A435">
        <v>46212.693842592591</v>
      </c>
      <c r="B435" t="s">
        <v>23</v>
      </c>
      <c r="C435">
        <v>243.91</v>
      </c>
      <c r="D435" t="s">
        <v>32</v>
      </c>
    </row>
    <row r="436" spans="1:4" x14ac:dyDescent="0.25">
      <c r="A436">
        <v>46212.694976851853</v>
      </c>
      <c r="B436" t="s">
        <v>23</v>
      </c>
      <c r="C436">
        <v>860.28</v>
      </c>
      <c r="D436" t="s">
        <v>36</v>
      </c>
    </row>
    <row r="437" spans="1:4" x14ac:dyDescent="0.25">
      <c r="A437">
        <v>46212.698449074072</v>
      </c>
      <c r="B437" t="s">
        <v>23</v>
      </c>
      <c r="C437">
        <v>195.04</v>
      </c>
      <c r="D437" t="s">
        <v>32</v>
      </c>
    </row>
    <row r="438" spans="1:4" x14ac:dyDescent="0.25">
      <c r="A438">
        <v>46212.701527777775</v>
      </c>
      <c r="B438" t="s">
        <v>23</v>
      </c>
      <c r="C438">
        <v>114.73</v>
      </c>
      <c r="D438" t="s">
        <v>32</v>
      </c>
    </row>
    <row r="439" spans="1:4" x14ac:dyDescent="0.25">
      <c r="A439">
        <v>46212.701689814814</v>
      </c>
      <c r="B439" t="s">
        <v>23</v>
      </c>
      <c r="C439">
        <v>163.06</v>
      </c>
      <c r="D439" t="s">
        <v>32</v>
      </c>
    </row>
    <row r="440" spans="1:4" x14ac:dyDescent="0.25">
      <c r="A440">
        <v>46212.701956018522</v>
      </c>
      <c r="B440" t="s">
        <v>23</v>
      </c>
      <c r="C440">
        <v>70.959999999999994</v>
      </c>
      <c r="D440" t="s">
        <v>32</v>
      </c>
    </row>
    <row r="441" spans="1:4" x14ac:dyDescent="0.25">
      <c r="A441">
        <v>46212.702476851853</v>
      </c>
      <c r="B441" t="s">
        <v>23</v>
      </c>
      <c r="C441">
        <v>42.02</v>
      </c>
      <c r="D441" t="s">
        <v>31</v>
      </c>
    </row>
    <row r="442" spans="1:4" x14ac:dyDescent="0.25">
      <c r="A442">
        <v>46212.703888888886</v>
      </c>
      <c r="B442" t="s">
        <v>23</v>
      </c>
      <c r="C442">
        <v>200.91</v>
      </c>
      <c r="D442" t="s">
        <v>32</v>
      </c>
    </row>
    <row r="443" spans="1:4" x14ac:dyDescent="0.25">
      <c r="A443">
        <v>46212.703946759262</v>
      </c>
      <c r="B443" t="s">
        <v>23</v>
      </c>
      <c r="C443">
        <v>192.37</v>
      </c>
      <c r="D443" t="s">
        <v>32</v>
      </c>
    </row>
    <row r="444" spans="1:4" x14ac:dyDescent="0.25">
      <c r="A444">
        <v>46212.707673611112</v>
      </c>
      <c r="B444" t="s">
        <v>23</v>
      </c>
      <c r="C444">
        <v>20.62</v>
      </c>
      <c r="D444" t="s">
        <v>32</v>
      </c>
    </row>
    <row r="445" spans="1:4" x14ac:dyDescent="0.25">
      <c r="A445">
        <v>46212.708321759259</v>
      </c>
      <c r="B445" t="s">
        <v>23</v>
      </c>
      <c r="C445">
        <v>133.86000000000001</v>
      </c>
      <c r="D445" t="s">
        <v>31</v>
      </c>
    </row>
    <row r="446" spans="1:4" x14ac:dyDescent="0.25">
      <c r="A446">
        <v>46212.712002314816</v>
      </c>
      <c r="B446" t="s">
        <v>23</v>
      </c>
      <c r="C446">
        <v>584.24</v>
      </c>
      <c r="D446" t="s">
        <v>32</v>
      </c>
    </row>
    <row r="447" spans="1:4" x14ac:dyDescent="0.25">
      <c r="A447">
        <v>46212.71303240741</v>
      </c>
      <c r="B447" t="s">
        <v>23</v>
      </c>
      <c r="C447">
        <v>90.96</v>
      </c>
      <c r="D447" t="s">
        <v>32</v>
      </c>
    </row>
    <row r="448" spans="1:4" x14ac:dyDescent="0.25">
      <c r="A448">
        <v>46212.714745370373</v>
      </c>
      <c r="B448" t="s">
        <v>23</v>
      </c>
      <c r="C448">
        <v>444.9</v>
      </c>
      <c r="D448" t="s">
        <v>32</v>
      </c>
    </row>
    <row r="449" spans="1:4" x14ac:dyDescent="0.25">
      <c r="A449">
        <v>46212.716215277775</v>
      </c>
      <c r="B449" t="s">
        <v>23</v>
      </c>
      <c r="C449">
        <v>57.83</v>
      </c>
      <c r="D449" t="s">
        <v>31</v>
      </c>
    </row>
    <row r="450" spans="1:4" x14ac:dyDescent="0.25">
      <c r="A450">
        <v>46212.716643518521</v>
      </c>
      <c r="B450" t="s">
        <v>23</v>
      </c>
      <c r="C450">
        <v>60.96</v>
      </c>
      <c r="D450" t="s">
        <v>32</v>
      </c>
    </row>
    <row r="451" spans="1:4" x14ac:dyDescent="0.25">
      <c r="A451">
        <v>46212.716689814813</v>
      </c>
      <c r="B451" t="s">
        <v>23</v>
      </c>
      <c r="C451">
        <v>146.22999999999999</v>
      </c>
      <c r="D451" t="s">
        <v>31</v>
      </c>
    </row>
    <row r="452" spans="1:4" x14ac:dyDescent="0.25">
      <c r="A452">
        <v>46212.717048611114</v>
      </c>
      <c r="B452" t="s">
        <v>23</v>
      </c>
      <c r="C452">
        <v>449.41</v>
      </c>
      <c r="D452" t="s">
        <v>32</v>
      </c>
    </row>
    <row r="453" spans="1:4" x14ac:dyDescent="0.25">
      <c r="A453">
        <v>46212.717986111114</v>
      </c>
      <c r="B453" t="s">
        <v>23</v>
      </c>
      <c r="C453">
        <v>1133.93</v>
      </c>
      <c r="D453" t="s">
        <v>31</v>
      </c>
    </row>
    <row r="454" spans="1:4" x14ac:dyDescent="0.25">
      <c r="A454">
        <v>46212.718402777777</v>
      </c>
      <c r="B454" t="s">
        <v>23</v>
      </c>
      <c r="C454">
        <v>220.39</v>
      </c>
      <c r="D454" t="s">
        <v>32</v>
      </c>
    </row>
    <row r="455" spans="1:4" x14ac:dyDescent="0.25">
      <c r="A455">
        <v>46212.718530092592</v>
      </c>
      <c r="B455" t="s">
        <v>23</v>
      </c>
      <c r="C455">
        <v>252.9</v>
      </c>
      <c r="D455" t="s">
        <v>32</v>
      </c>
    </row>
    <row r="456" spans="1:4" x14ac:dyDescent="0.25">
      <c r="A456">
        <v>46212.719722222224</v>
      </c>
      <c r="B456" t="s">
        <v>23</v>
      </c>
      <c r="C456">
        <v>50.4</v>
      </c>
      <c r="D456" t="s">
        <v>32</v>
      </c>
    </row>
    <row r="457" spans="1:4" x14ac:dyDescent="0.25">
      <c r="A457">
        <v>46212.719814814816</v>
      </c>
      <c r="B457" t="s">
        <v>23</v>
      </c>
      <c r="C457">
        <v>133.69</v>
      </c>
      <c r="D457" t="s">
        <v>32</v>
      </c>
    </row>
    <row r="458" spans="1:4" x14ac:dyDescent="0.25">
      <c r="A458">
        <v>46212.721250000002</v>
      </c>
      <c r="B458" t="s">
        <v>23</v>
      </c>
      <c r="C458">
        <v>14.57</v>
      </c>
      <c r="D458" t="s">
        <v>31</v>
      </c>
    </row>
    <row r="459" spans="1:4" x14ac:dyDescent="0.25">
      <c r="A459">
        <v>46212.723321759258</v>
      </c>
      <c r="B459" t="s">
        <v>23</v>
      </c>
      <c r="C459">
        <v>233.97</v>
      </c>
      <c r="D459" t="s">
        <v>32</v>
      </c>
    </row>
    <row r="460" spans="1:4" x14ac:dyDescent="0.25">
      <c r="A460">
        <v>46212.725914351853</v>
      </c>
      <c r="B460" t="s">
        <v>23</v>
      </c>
      <c r="C460">
        <v>176.14</v>
      </c>
      <c r="D460" t="s">
        <v>31</v>
      </c>
    </row>
    <row r="461" spans="1:4" x14ac:dyDescent="0.25">
      <c r="A461">
        <v>46212.726203703707</v>
      </c>
      <c r="B461" t="s">
        <v>23</v>
      </c>
      <c r="C461">
        <v>257.14</v>
      </c>
      <c r="D461" t="s">
        <v>32</v>
      </c>
    </row>
    <row r="462" spans="1:4" x14ac:dyDescent="0.25">
      <c r="A462">
        <v>46212.727696759262</v>
      </c>
      <c r="B462" t="s">
        <v>23</v>
      </c>
      <c r="C462">
        <v>191.82</v>
      </c>
      <c r="D462" t="s">
        <v>31</v>
      </c>
    </row>
    <row r="463" spans="1:4" x14ac:dyDescent="0.25">
      <c r="A463">
        <v>46212.728738425925</v>
      </c>
      <c r="B463" t="s">
        <v>23</v>
      </c>
      <c r="C463">
        <v>161.94999999999999</v>
      </c>
      <c r="D463" t="s">
        <v>31</v>
      </c>
    </row>
    <row r="464" spans="1:4" x14ac:dyDescent="0.25">
      <c r="A464">
        <v>46212.729872685188</v>
      </c>
      <c r="B464" t="s">
        <v>23</v>
      </c>
      <c r="C464">
        <v>110.04</v>
      </c>
      <c r="D464" t="s">
        <v>32</v>
      </c>
    </row>
    <row r="465" spans="1:4" x14ac:dyDescent="0.25">
      <c r="A465">
        <v>46212.733576388891</v>
      </c>
      <c r="B465" t="s">
        <v>23</v>
      </c>
      <c r="C465">
        <v>56.83</v>
      </c>
      <c r="D465" t="s">
        <v>32</v>
      </c>
    </row>
    <row r="466" spans="1:4" x14ac:dyDescent="0.25">
      <c r="A466">
        <v>46212.734537037039</v>
      </c>
      <c r="B466" t="s">
        <v>23</v>
      </c>
      <c r="C466">
        <v>180.7</v>
      </c>
      <c r="D466" t="s">
        <v>36</v>
      </c>
    </row>
    <row r="467" spans="1:4" x14ac:dyDescent="0.25">
      <c r="A467">
        <v>46212.734675925924</v>
      </c>
      <c r="B467" t="s">
        <v>23</v>
      </c>
      <c r="C467">
        <v>40.42</v>
      </c>
      <c r="D467" t="s">
        <v>31</v>
      </c>
    </row>
    <row r="468" spans="1:4" x14ac:dyDescent="0.25">
      <c r="A468">
        <v>46212.735613425924</v>
      </c>
      <c r="B468" t="s">
        <v>23</v>
      </c>
      <c r="C468">
        <v>1258.93</v>
      </c>
      <c r="D468" t="s">
        <v>31</v>
      </c>
    </row>
    <row r="469" spans="1:4" x14ac:dyDescent="0.25">
      <c r="A469">
        <v>46212.736192129632</v>
      </c>
      <c r="B469" t="s">
        <v>23</v>
      </c>
      <c r="C469">
        <v>236.27</v>
      </c>
      <c r="D469" t="s">
        <v>32</v>
      </c>
    </row>
    <row r="470" spans="1:4" x14ac:dyDescent="0.25">
      <c r="A470">
        <v>46212.736203703702</v>
      </c>
      <c r="B470" t="s">
        <v>23</v>
      </c>
      <c r="C470">
        <v>753.34</v>
      </c>
      <c r="D470" t="s">
        <v>31</v>
      </c>
    </row>
    <row r="471" spans="1:4" x14ac:dyDescent="0.25">
      <c r="A471">
        <v>46212.737395833334</v>
      </c>
      <c r="B471" t="s">
        <v>23</v>
      </c>
      <c r="C471">
        <v>627.71</v>
      </c>
      <c r="D471" t="s">
        <v>31</v>
      </c>
    </row>
    <row r="472" spans="1:4" x14ac:dyDescent="0.25">
      <c r="A472">
        <v>46212.738483796296</v>
      </c>
      <c r="B472" t="s">
        <v>23</v>
      </c>
      <c r="C472">
        <v>160.49</v>
      </c>
      <c r="D472" t="s">
        <v>32</v>
      </c>
    </row>
    <row r="473" spans="1:4" x14ac:dyDescent="0.25">
      <c r="A473">
        <v>46212.740057870367</v>
      </c>
      <c r="B473" t="s">
        <v>23</v>
      </c>
      <c r="C473">
        <v>105.05</v>
      </c>
      <c r="D473" t="s">
        <v>32</v>
      </c>
    </row>
    <row r="474" spans="1:4" x14ac:dyDescent="0.25">
      <c r="A474">
        <v>46212.740069444444</v>
      </c>
      <c r="B474" t="s">
        <v>23</v>
      </c>
      <c r="C474">
        <v>48.17</v>
      </c>
      <c r="D474" t="s">
        <v>32</v>
      </c>
    </row>
    <row r="475" spans="1:4" x14ac:dyDescent="0.25">
      <c r="A475">
        <v>46212.740115740744</v>
      </c>
      <c r="B475" t="s">
        <v>23</v>
      </c>
      <c r="C475">
        <v>289.72000000000003</v>
      </c>
      <c r="D475" t="s">
        <v>32</v>
      </c>
    </row>
    <row r="476" spans="1:4" x14ac:dyDescent="0.25">
      <c r="A476">
        <v>46212.740624999999</v>
      </c>
      <c r="B476" t="s">
        <v>23</v>
      </c>
      <c r="C476">
        <v>108.58</v>
      </c>
      <c r="D476" t="s">
        <v>31</v>
      </c>
    </row>
    <row r="477" spans="1:4" x14ac:dyDescent="0.25">
      <c r="A477">
        <v>46212.74113425926</v>
      </c>
      <c r="B477" t="s">
        <v>23</v>
      </c>
      <c r="C477">
        <v>341.76</v>
      </c>
      <c r="D477" t="s">
        <v>36</v>
      </c>
    </row>
    <row r="478" spans="1:4" x14ac:dyDescent="0.25">
      <c r="A478">
        <v>46212.741747685184</v>
      </c>
      <c r="B478" t="s">
        <v>23</v>
      </c>
      <c r="C478">
        <v>111.53</v>
      </c>
      <c r="D478" t="s">
        <v>31</v>
      </c>
    </row>
    <row r="479" spans="1:4" x14ac:dyDescent="0.25">
      <c r="A479">
        <v>46212.742152777777</v>
      </c>
      <c r="B479" t="s">
        <v>23</v>
      </c>
      <c r="C479">
        <v>173.7</v>
      </c>
      <c r="D479" t="s">
        <v>32</v>
      </c>
    </row>
    <row r="480" spans="1:4" x14ac:dyDescent="0.25">
      <c r="A480">
        <v>46212.742349537039</v>
      </c>
      <c r="B480" t="s">
        <v>23</v>
      </c>
      <c r="C480">
        <v>144.28</v>
      </c>
      <c r="D480" t="s">
        <v>32</v>
      </c>
    </row>
    <row r="481" spans="1:4" x14ac:dyDescent="0.25">
      <c r="A481">
        <v>46212.742395833331</v>
      </c>
      <c r="B481" t="s">
        <v>23</v>
      </c>
      <c r="C481">
        <v>382.97</v>
      </c>
      <c r="D481" t="s">
        <v>32</v>
      </c>
    </row>
    <row r="482" spans="1:4" x14ac:dyDescent="0.25">
      <c r="A482">
        <v>46212.7424537037</v>
      </c>
      <c r="B482" t="s">
        <v>23</v>
      </c>
      <c r="C482">
        <v>278.05</v>
      </c>
      <c r="D482" t="s">
        <v>32</v>
      </c>
    </row>
    <row r="483" spans="1:4" x14ac:dyDescent="0.25">
      <c r="A483">
        <v>46212.743368055555</v>
      </c>
      <c r="B483" t="s">
        <v>23</v>
      </c>
      <c r="C483">
        <v>26.44</v>
      </c>
      <c r="D483" t="s">
        <v>32</v>
      </c>
    </row>
    <row r="484" spans="1:4" x14ac:dyDescent="0.25">
      <c r="A484">
        <v>46212.74459490741</v>
      </c>
      <c r="B484" t="s">
        <v>23</v>
      </c>
      <c r="C484">
        <v>219.67</v>
      </c>
      <c r="D484" t="s">
        <v>32</v>
      </c>
    </row>
    <row r="485" spans="1:4" x14ac:dyDescent="0.25">
      <c r="A485">
        <v>46212.745370370372</v>
      </c>
      <c r="B485" t="s">
        <v>23</v>
      </c>
      <c r="C485">
        <v>182.93</v>
      </c>
      <c r="D485" t="s">
        <v>31</v>
      </c>
    </row>
    <row r="486" spans="1:4" x14ac:dyDescent="0.25">
      <c r="A486">
        <v>46212.746678240743</v>
      </c>
      <c r="B486" t="s">
        <v>23</v>
      </c>
      <c r="C486">
        <v>47.8</v>
      </c>
      <c r="D486" t="s">
        <v>32</v>
      </c>
    </row>
    <row r="487" spans="1:4" x14ac:dyDescent="0.25">
      <c r="A487">
        <v>46212.747002314813</v>
      </c>
      <c r="B487" t="s">
        <v>23</v>
      </c>
      <c r="C487">
        <v>679.04</v>
      </c>
      <c r="D487" t="s">
        <v>36</v>
      </c>
    </row>
    <row r="488" spans="1:4" x14ac:dyDescent="0.25">
      <c r="A488">
        <v>46212.747164351851</v>
      </c>
      <c r="B488" t="s">
        <v>23</v>
      </c>
      <c r="C488">
        <v>27.23</v>
      </c>
      <c r="D488" t="s">
        <v>32</v>
      </c>
    </row>
    <row r="489" spans="1:4" x14ac:dyDescent="0.25">
      <c r="A489">
        <v>46212.748900462961</v>
      </c>
      <c r="B489" t="s">
        <v>23</v>
      </c>
      <c r="C489">
        <v>33.119999999999997</v>
      </c>
      <c r="D489" t="s">
        <v>32</v>
      </c>
    </row>
    <row r="490" spans="1:4" x14ac:dyDescent="0.25">
      <c r="A490">
        <v>46212.74894675926</v>
      </c>
      <c r="B490" t="s">
        <v>23</v>
      </c>
      <c r="C490">
        <v>562.09</v>
      </c>
      <c r="D490" t="s">
        <v>36</v>
      </c>
    </row>
  </sheetData>
  <mergeCells count="5">
    <mergeCell ref="C2:D2"/>
    <mergeCell ref="C3:D3"/>
    <mergeCell ref="C4:D4"/>
    <mergeCell ref="C5:D5"/>
    <mergeCell ref="A1:D1"/>
  </mergeCells>
  <pageMargins left="0.511811024" right="0.511811024" top="0.78740157499999996" bottom="0.78740157499999996" header="0.31496062000000002" footer="0.31496062000000002"/>
  <pageSetup paperSize="159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5"/>
  <sheetViews>
    <sheetView workbookViewId="0">
      <selection activeCell="M12" sqref="M12"/>
    </sheetView>
  </sheetViews>
  <sheetFormatPr defaultRowHeight="15" x14ac:dyDescent="0.25"/>
  <cols>
    <col min="1" max="1" width="18" customWidth="1"/>
    <col min="2" max="2" width="24.5703125" style="11" bestFit="1" customWidth="1"/>
    <col min="3" max="3" width="22" bestFit="1" customWidth="1"/>
  </cols>
  <sheetData>
    <row r="1" spans="1:3" x14ac:dyDescent="0.25">
      <c r="A1" s="76" t="s">
        <v>39</v>
      </c>
      <c r="B1" s="76"/>
      <c r="C1" s="76"/>
    </row>
    <row r="2" spans="1:3" x14ac:dyDescent="0.25">
      <c r="A2" s="3" t="s">
        <v>40</v>
      </c>
      <c r="B2" s="9"/>
      <c r="C2" s="6">
        <f>SUMIF(Tabela_Sipag_2[Forma de Pagamento], "Crédito", Tabela_Sipag_2[Total plano de venda])</f>
        <v>74496.14999999998</v>
      </c>
    </row>
    <row r="3" spans="1:3" x14ac:dyDescent="0.25">
      <c r="A3" s="3" t="s">
        <v>41</v>
      </c>
      <c r="B3" s="10"/>
      <c r="C3" s="7">
        <f>SUMIF(Tabela_Sipag_2[Forma de Pagamento], "Débito", Tabela_Sipag_2[Total plano de venda])</f>
        <v>42402.670000000013</v>
      </c>
    </row>
    <row r="4" spans="1:3" x14ac:dyDescent="0.25">
      <c r="A4" s="3" t="s">
        <v>42</v>
      </c>
      <c r="B4" s="9"/>
      <c r="C4" s="6">
        <f>SUMIF(Tabela_Sipag_2[Forma de Pagamento], "Pix", Tabela_Sipag_2[Total plano de venda])</f>
        <v>25241.880000000005</v>
      </c>
    </row>
    <row r="5" spans="1:3" x14ac:dyDescent="0.25">
      <c r="A5" s="3" t="s">
        <v>38</v>
      </c>
      <c r="B5" s="10"/>
      <c r="C5" s="7">
        <f>SUM(C2:C4)</f>
        <v>142140.70000000001</v>
      </c>
    </row>
    <row r="6" spans="1:3" x14ac:dyDescent="0.25">
      <c r="A6" t="s">
        <v>4</v>
      </c>
      <c r="B6" s="11" t="s">
        <v>34</v>
      </c>
      <c r="C6" t="s">
        <v>33</v>
      </c>
    </row>
    <row r="7" spans="1:3" x14ac:dyDescent="0.25">
      <c r="A7" s="2">
        <v>46212.333587962959</v>
      </c>
      <c r="B7" s="11" t="s">
        <v>36</v>
      </c>
      <c r="C7">
        <v>346.02</v>
      </c>
    </row>
    <row r="8" spans="1:3" x14ac:dyDescent="0.25">
      <c r="A8" s="2">
        <v>46212.333645833336</v>
      </c>
      <c r="B8" s="11" t="s">
        <v>32</v>
      </c>
      <c r="C8">
        <v>281.05</v>
      </c>
    </row>
    <row r="9" spans="1:3" x14ac:dyDescent="0.25">
      <c r="A9" s="2">
        <v>46212.335486111115</v>
      </c>
      <c r="B9" s="11" t="s">
        <v>36</v>
      </c>
      <c r="C9">
        <v>165.81</v>
      </c>
    </row>
    <row r="10" spans="1:3" x14ac:dyDescent="0.25">
      <c r="A10" s="2">
        <v>46212.335625</v>
      </c>
      <c r="B10" t="s">
        <v>31</v>
      </c>
      <c r="C10">
        <v>152.46</v>
      </c>
    </row>
    <row r="11" spans="1:3" x14ac:dyDescent="0.25">
      <c r="A11" s="2">
        <v>46212.33797453704</v>
      </c>
      <c r="B11" t="s">
        <v>36</v>
      </c>
      <c r="C11">
        <v>295.14999999999998</v>
      </c>
    </row>
    <row r="12" spans="1:3" x14ac:dyDescent="0.25">
      <c r="A12" s="2">
        <v>46212.339155092595</v>
      </c>
      <c r="B12" t="s">
        <v>32</v>
      </c>
      <c r="C12">
        <v>538.89</v>
      </c>
    </row>
    <row r="13" spans="1:3" x14ac:dyDescent="0.25">
      <c r="A13" s="2">
        <v>46212.340277777781</v>
      </c>
      <c r="B13" t="s">
        <v>32</v>
      </c>
      <c r="C13">
        <v>197.07</v>
      </c>
    </row>
    <row r="14" spans="1:3" x14ac:dyDescent="0.25">
      <c r="A14" s="2">
        <v>46212.34207175926</v>
      </c>
      <c r="B14" t="s">
        <v>31</v>
      </c>
      <c r="C14">
        <v>59.22</v>
      </c>
    </row>
    <row r="15" spans="1:3" x14ac:dyDescent="0.25">
      <c r="A15" s="2">
        <v>46212.342141203706</v>
      </c>
      <c r="B15" t="s">
        <v>32</v>
      </c>
      <c r="C15">
        <v>623.34</v>
      </c>
    </row>
    <row r="16" spans="1:3" x14ac:dyDescent="0.25">
      <c r="A16" s="2">
        <v>46212.343657407408</v>
      </c>
      <c r="B16" t="s">
        <v>31</v>
      </c>
      <c r="C16">
        <v>838.64</v>
      </c>
    </row>
    <row r="17" spans="1:3" x14ac:dyDescent="0.25">
      <c r="A17" s="2">
        <v>46212.344212962962</v>
      </c>
      <c r="B17" t="s">
        <v>32</v>
      </c>
      <c r="C17">
        <v>167.44</v>
      </c>
    </row>
    <row r="18" spans="1:3" x14ac:dyDescent="0.25">
      <c r="A18" s="2">
        <v>46212.344444444447</v>
      </c>
      <c r="B18" t="s">
        <v>31</v>
      </c>
      <c r="C18">
        <v>237.37</v>
      </c>
    </row>
    <row r="19" spans="1:3" x14ac:dyDescent="0.25">
      <c r="A19" s="2">
        <v>46212.344710648147</v>
      </c>
      <c r="B19" t="s">
        <v>36</v>
      </c>
      <c r="C19">
        <v>452.96</v>
      </c>
    </row>
    <row r="20" spans="1:3" x14ac:dyDescent="0.25">
      <c r="A20" s="2">
        <v>46212.349965277775</v>
      </c>
      <c r="B20" t="s">
        <v>31</v>
      </c>
      <c r="C20">
        <v>122.12</v>
      </c>
    </row>
    <row r="21" spans="1:3" x14ac:dyDescent="0.25">
      <c r="A21" s="2">
        <v>46212.350057870368</v>
      </c>
      <c r="B21" t="s">
        <v>36</v>
      </c>
      <c r="C21">
        <v>1095</v>
      </c>
    </row>
    <row r="22" spans="1:3" x14ac:dyDescent="0.25">
      <c r="A22" s="2">
        <v>46212.350324074076</v>
      </c>
      <c r="B22" t="s">
        <v>32</v>
      </c>
      <c r="C22">
        <v>460.06</v>
      </c>
    </row>
    <row r="23" spans="1:3" x14ac:dyDescent="0.25">
      <c r="A23" s="2">
        <v>46212.352118055554</v>
      </c>
      <c r="B23" t="s">
        <v>36</v>
      </c>
      <c r="C23">
        <v>76.56</v>
      </c>
    </row>
    <row r="24" spans="1:3" x14ac:dyDescent="0.25">
      <c r="A24" s="2">
        <v>46212.352766203701</v>
      </c>
      <c r="B24" t="s">
        <v>32</v>
      </c>
      <c r="C24">
        <v>277.04000000000002</v>
      </c>
    </row>
    <row r="25" spans="1:3" x14ac:dyDescent="0.25">
      <c r="A25" s="2">
        <v>46212.352812500001</v>
      </c>
      <c r="B25" t="s">
        <v>31</v>
      </c>
      <c r="C25">
        <v>40.11</v>
      </c>
    </row>
    <row r="26" spans="1:3" x14ac:dyDescent="0.25">
      <c r="A26" s="2">
        <v>46212.35328703704</v>
      </c>
      <c r="B26" t="s">
        <v>32</v>
      </c>
      <c r="C26">
        <v>564.32000000000005</v>
      </c>
    </row>
    <row r="27" spans="1:3" x14ac:dyDescent="0.25">
      <c r="A27" s="2">
        <v>46212.354131944441</v>
      </c>
      <c r="B27" t="s">
        <v>32</v>
      </c>
      <c r="C27">
        <v>29.42</v>
      </c>
    </row>
    <row r="28" spans="1:3" x14ac:dyDescent="0.25">
      <c r="A28" s="2">
        <v>46212.354375000003</v>
      </c>
      <c r="B28" t="s">
        <v>32</v>
      </c>
      <c r="C28">
        <v>1067.31</v>
      </c>
    </row>
    <row r="29" spans="1:3" x14ac:dyDescent="0.25">
      <c r="A29" s="2">
        <v>46212.354756944442</v>
      </c>
      <c r="B29" t="s">
        <v>32</v>
      </c>
      <c r="C29">
        <v>114.24</v>
      </c>
    </row>
    <row r="30" spans="1:3" x14ac:dyDescent="0.25">
      <c r="A30" s="2">
        <v>46212.355243055557</v>
      </c>
      <c r="B30" t="s">
        <v>32</v>
      </c>
      <c r="C30">
        <v>164.2</v>
      </c>
    </row>
    <row r="31" spans="1:3" x14ac:dyDescent="0.25">
      <c r="A31" s="2">
        <v>46212.355462962965</v>
      </c>
      <c r="B31" t="s">
        <v>31</v>
      </c>
      <c r="C31">
        <v>713.06</v>
      </c>
    </row>
    <row r="32" spans="1:3" x14ac:dyDescent="0.25">
      <c r="A32" s="2">
        <v>46212.356493055559</v>
      </c>
      <c r="B32" t="s">
        <v>32</v>
      </c>
      <c r="C32">
        <v>140.6</v>
      </c>
    </row>
    <row r="33" spans="1:3" x14ac:dyDescent="0.25">
      <c r="A33" s="2">
        <v>46212.357175925928</v>
      </c>
      <c r="B33" t="s">
        <v>31</v>
      </c>
      <c r="C33">
        <v>196.12</v>
      </c>
    </row>
    <row r="34" spans="1:3" x14ac:dyDescent="0.25">
      <c r="A34" s="2">
        <v>46212.357268518521</v>
      </c>
      <c r="B34" t="s">
        <v>31</v>
      </c>
      <c r="C34">
        <v>735.62</v>
      </c>
    </row>
    <row r="35" spans="1:3" x14ac:dyDescent="0.25">
      <c r="A35" s="2">
        <v>46212.362071759257</v>
      </c>
      <c r="B35" t="s">
        <v>32</v>
      </c>
      <c r="C35">
        <v>45.77</v>
      </c>
    </row>
    <row r="36" spans="1:3" x14ac:dyDescent="0.25">
      <c r="A36" s="2">
        <v>46212.364490740743</v>
      </c>
      <c r="B36" t="s">
        <v>32</v>
      </c>
      <c r="C36">
        <v>1207.5</v>
      </c>
    </row>
    <row r="37" spans="1:3" x14ac:dyDescent="0.25">
      <c r="A37" s="2">
        <v>46212.365057870367</v>
      </c>
      <c r="B37" t="s">
        <v>32</v>
      </c>
      <c r="C37">
        <v>121.94</v>
      </c>
    </row>
    <row r="38" spans="1:3" x14ac:dyDescent="0.25">
      <c r="A38" s="2">
        <v>46212.365405092591</v>
      </c>
      <c r="B38" t="s">
        <v>31</v>
      </c>
      <c r="C38">
        <v>296.57</v>
      </c>
    </row>
    <row r="39" spans="1:3" x14ac:dyDescent="0.25">
      <c r="A39" s="2">
        <v>46212.366041666668</v>
      </c>
      <c r="B39" t="s">
        <v>32</v>
      </c>
      <c r="C39">
        <v>266.58999999999997</v>
      </c>
    </row>
    <row r="40" spans="1:3" x14ac:dyDescent="0.25">
      <c r="A40" s="2">
        <v>46212.366539351853</v>
      </c>
      <c r="B40" t="s">
        <v>31</v>
      </c>
      <c r="C40">
        <v>98.76</v>
      </c>
    </row>
    <row r="41" spans="1:3" x14ac:dyDescent="0.25">
      <c r="A41" s="2">
        <v>46212.366712962961</v>
      </c>
      <c r="B41" t="s">
        <v>36</v>
      </c>
      <c r="C41">
        <v>213.89</v>
      </c>
    </row>
    <row r="42" spans="1:3" x14ac:dyDescent="0.25">
      <c r="A42" s="2">
        <v>46212.367071759261</v>
      </c>
      <c r="B42" t="s">
        <v>31</v>
      </c>
      <c r="C42">
        <v>253.53</v>
      </c>
    </row>
    <row r="43" spans="1:3" x14ac:dyDescent="0.25">
      <c r="A43" s="2">
        <v>46212.367592592593</v>
      </c>
      <c r="B43" t="s">
        <v>31</v>
      </c>
      <c r="C43">
        <v>77.44</v>
      </c>
    </row>
    <row r="44" spans="1:3" x14ac:dyDescent="0.25">
      <c r="A44" s="2">
        <v>46212.368842592594</v>
      </c>
      <c r="B44" t="s">
        <v>31</v>
      </c>
      <c r="C44">
        <v>891.9</v>
      </c>
    </row>
    <row r="45" spans="1:3" x14ac:dyDescent="0.25">
      <c r="A45" s="2">
        <v>46212.368946759256</v>
      </c>
      <c r="B45" t="s">
        <v>32</v>
      </c>
      <c r="C45">
        <v>1326.28</v>
      </c>
    </row>
    <row r="46" spans="1:3" x14ac:dyDescent="0.25">
      <c r="A46" s="2">
        <v>46212.369085648148</v>
      </c>
      <c r="B46" t="s">
        <v>32</v>
      </c>
      <c r="C46">
        <v>69.08</v>
      </c>
    </row>
    <row r="47" spans="1:3" x14ac:dyDescent="0.25">
      <c r="A47" s="2">
        <v>46212.369803240741</v>
      </c>
      <c r="B47" t="s">
        <v>31</v>
      </c>
      <c r="C47">
        <v>140.36000000000001</v>
      </c>
    </row>
    <row r="48" spans="1:3" x14ac:dyDescent="0.25">
      <c r="A48" s="2">
        <v>46212.370578703703</v>
      </c>
      <c r="B48" t="s">
        <v>32</v>
      </c>
      <c r="C48">
        <v>239.78</v>
      </c>
    </row>
    <row r="49" spans="1:3" x14ac:dyDescent="0.25">
      <c r="A49" s="2">
        <v>46212.370613425926</v>
      </c>
      <c r="B49" t="s">
        <v>32</v>
      </c>
      <c r="C49">
        <v>197.36</v>
      </c>
    </row>
    <row r="50" spans="1:3" x14ac:dyDescent="0.25">
      <c r="A50" s="2">
        <v>46212.370717592596</v>
      </c>
      <c r="B50" t="s">
        <v>32</v>
      </c>
      <c r="C50">
        <v>276.79000000000002</v>
      </c>
    </row>
    <row r="51" spans="1:3" x14ac:dyDescent="0.25">
      <c r="A51" s="2">
        <v>46212.371249999997</v>
      </c>
      <c r="B51" t="s">
        <v>32</v>
      </c>
      <c r="C51">
        <v>426.05</v>
      </c>
    </row>
    <row r="52" spans="1:3" x14ac:dyDescent="0.25">
      <c r="A52" s="2">
        <v>46212.37127314815</v>
      </c>
      <c r="B52" t="s">
        <v>32</v>
      </c>
      <c r="C52">
        <v>854.49</v>
      </c>
    </row>
    <row r="53" spans="1:3" x14ac:dyDescent="0.25">
      <c r="A53" s="2">
        <v>46212.372002314813</v>
      </c>
      <c r="B53" t="s">
        <v>31</v>
      </c>
      <c r="C53">
        <v>71.510000000000005</v>
      </c>
    </row>
    <row r="54" spans="1:3" x14ac:dyDescent="0.25">
      <c r="A54" s="2">
        <v>46212.373888888891</v>
      </c>
      <c r="B54" t="s">
        <v>32</v>
      </c>
      <c r="C54">
        <v>43.92</v>
      </c>
    </row>
    <row r="55" spans="1:3" x14ac:dyDescent="0.25">
      <c r="A55" s="2">
        <v>46212.374062499999</v>
      </c>
      <c r="B55" t="s">
        <v>32</v>
      </c>
      <c r="C55">
        <v>10.61</v>
      </c>
    </row>
    <row r="56" spans="1:3" x14ac:dyDescent="0.25">
      <c r="A56" s="2">
        <v>46212.374432870369</v>
      </c>
      <c r="B56" t="s">
        <v>32</v>
      </c>
      <c r="C56">
        <v>143.78</v>
      </c>
    </row>
    <row r="57" spans="1:3" x14ac:dyDescent="0.25">
      <c r="A57" s="2">
        <v>46212.374988425923</v>
      </c>
      <c r="B57" t="s">
        <v>32</v>
      </c>
      <c r="C57">
        <v>18.64</v>
      </c>
    </row>
    <row r="58" spans="1:3" x14ac:dyDescent="0.25">
      <c r="A58" s="2">
        <v>46212.375659722224</v>
      </c>
      <c r="B58" t="s">
        <v>31</v>
      </c>
      <c r="C58">
        <v>261.67</v>
      </c>
    </row>
    <row r="59" spans="1:3" x14ac:dyDescent="0.25">
      <c r="A59" s="2">
        <v>46212.377766203703</v>
      </c>
      <c r="B59" t="s">
        <v>36</v>
      </c>
      <c r="C59">
        <v>217.31</v>
      </c>
    </row>
    <row r="60" spans="1:3" x14ac:dyDescent="0.25">
      <c r="A60" s="2">
        <v>46212.378819444442</v>
      </c>
      <c r="B60" t="s">
        <v>32</v>
      </c>
      <c r="C60">
        <v>247.17</v>
      </c>
    </row>
    <row r="61" spans="1:3" x14ac:dyDescent="0.25">
      <c r="A61" s="2">
        <v>46212.38013888889</v>
      </c>
      <c r="B61" t="s">
        <v>32</v>
      </c>
      <c r="C61">
        <v>36.950000000000003</v>
      </c>
    </row>
    <row r="62" spans="1:3" x14ac:dyDescent="0.25">
      <c r="A62" s="2">
        <v>46212.380254629628</v>
      </c>
      <c r="B62" t="s">
        <v>32</v>
      </c>
      <c r="C62">
        <v>270.33999999999997</v>
      </c>
    </row>
    <row r="63" spans="1:3" x14ac:dyDescent="0.25">
      <c r="A63" s="2">
        <v>46212.381249999999</v>
      </c>
      <c r="B63" t="s">
        <v>32</v>
      </c>
      <c r="C63">
        <v>80.75</v>
      </c>
    </row>
    <row r="64" spans="1:3" x14ac:dyDescent="0.25">
      <c r="A64" s="2">
        <v>46212.381423611114</v>
      </c>
      <c r="B64" t="s">
        <v>36</v>
      </c>
      <c r="C64">
        <v>228.98</v>
      </c>
    </row>
    <row r="65" spans="1:3" x14ac:dyDescent="0.25">
      <c r="A65" s="2">
        <v>46212.382453703707</v>
      </c>
      <c r="B65" t="s">
        <v>31</v>
      </c>
      <c r="C65">
        <v>237.08</v>
      </c>
    </row>
    <row r="66" spans="1:3" x14ac:dyDescent="0.25">
      <c r="A66" s="2">
        <v>46212.382719907408</v>
      </c>
      <c r="B66" t="s">
        <v>31</v>
      </c>
      <c r="C66">
        <v>50.09</v>
      </c>
    </row>
    <row r="67" spans="1:3" x14ac:dyDescent="0.25">
      <c r="A67" s="2">
        <v>46212.382881944446</v>
      </c>
      <c r="B67" t="s">
        <v>32</v>
      </c>
      <c r="C67">
        <v>294.91000000000003</v>
      </c>
    </row>
    <row r="68" spans="1:3" x14ac:dyDescent="0.25">
      <c r="A68" s="2">
        <v>46212.383217592593</v>
      </c>
      <c r="B68" t="s">
        <v>32</v>
      </c>
      <c r="C68">
        <v>38.32</v>
      </c>
    </row>
    <row r="69" spans="1:3" x14ac:dyDescent="0.25">
      <c r="A69" s="2">
        <v>46212.384143518517</v>
      </c>
      <c r="B69" t="s">
        <v>32</v>
      </c>
      <c r="C69">
        <v>298.43</v>
      </c>
    </row>
    <row r="70" spans="1:3" x14ac:dyDescent="0.25">
      <c r="A70" s="2">
        <v>46212.384398148148</v>
      </c>
      <c r="B70" t="s">
        <v>32</v>
      </c>
      <c r="C70">
        <v>275.64</v>
      </c>
    </row>
    <row r="71" spans="1:3" x14ac:dyDescent="0.25">
      <c r="A71" s="2">
        <v>46212.385023148148</v>
      </c>
      <c r="B71" t="s">
        <v>32</v>
      </c>
      <c r="C71">
        <v>467.37</v>
      </c>
    </row>
    <row r="72" spans="1:3" x14ac:dyDescent="0.25">
      <c r="A72" s="2">
        <v>46212.386712962965</v>
      </c>
      <c r="B72" t="s">
        <v>32</v>
      </c>
      <c r="C72">
        <v>119.96</v>
      </c>
    </row>
    <row r="73" spans="1:3" x14ac:dyDescent="0.25">
      <c r="A73" s="2">
        <v>46212.386886574073</v>
      </c>
      <c r="B73" t="s">
        <v>31</v>
      </c>
      <c r="C73">
        <v>271.85000000000002</v>
      </c>
    </row>
    <row r="74" spans="1:3" x14ac:dyDescent="0.25">
      <c r="A74" s="2">
        <v>46212.389351851853</v>
      </c>
      <c r="B74" t="s">
        <v>32</v>
      </c>
      <c r="C74">
        <v>270.10000000000002</v>
      </c>
    </row>
    <row r="75" spans="1:3" x14ac:dyDescent="0.25">
      <c r="A75" s="2">
        <v>46212.391076388885</v>
      </c>
      <c r="B75" t="s">
        <v>32</v>
      </c>
      <c r="C75">
        <v>31.41</v>
      </c>
    </row>
    <row r="76" spans="1:3" x14ac:dyDescent="0.25">
      <c r="A76" s="2">
        <v>46212.392951388887</v>
      </c>
      <c r="B76" t="s">
        <v>36</v>
      </c>
      <c r="C76">
        <v>117.58</v>
      </c>
    </row>
    <row r="77" spans="1:3" x14ac:dyDescent="0.25">
      <c r="A77" s="2">
        <v>46212.39329861111</v>
      </c>
      <c r="B77" t="s">
        <v>36</v>
      </c>
      <c r="C77">
        <v>214.18</v>
      </c>
    </row>
    <row r="78" spans="1:3" x14ac:dyDescent="0.25">
      <c r="A78" s="2">
        <v>46212.39335648148</v>
      </c>
      <c r="B78" t="s">
        <v>36</v>
      </c>
      <c r="C78">
        <v>892.07</v>
      </c>
    </row>
    <row r="79" spans="1:3" x14ac:dyDescent="0.25">
      <c r="A79" s="2">
        <v>46212.39371527778</v>
      </c>
      <c r="B79" t="s">
        <v>32</v>
      </c>
      <c r="C79">
        <v>103.94</v>
      </c>
    </row>
    <row r="80" spans="1:3" x14ac:dyDescent="0.25">
      <c r="A80" s="2">
        <v>46212.396666666667</v>
      </c>
      <c r="B80" t="s">
        <v>32</v>
      </c>
      <c r="C80">
        <v>849.78</v>
      </c>
    </row>
    <row r="81" spans="1:3" x14ac:dyDescent="0.25">
      <c r="A81" s="2">
        <v>46212.396805555552</v>
      </c>
      <c r="B81" t="s">
        <v>32</v>
      </c>
      <c r="C81">
        <v>22.17</v>
      </c>
    </row>
    <row r="82" spans="1:3" x14ac:dyDescent="0.25">
      <c r="A82" s="2">
        <v>46212.39707175926</v>
      </c>
      <c r="B82" t="s">
        <v>31</v>
      </c>
      <c r="C82">
        <v>172.89</v>
      </c>
    </row>
    <row r="83" spans="1:3" x14ac:dyDescent="0.25">
      <c r="A83" s="2">
        <v>46212.397893518515</v>
      </c>
      <c r="B83" t="s">
        <v>32</v>
      </c>
      <c r="C83">
        <v>68.67</v>
      </c>
    </row>
    <row r="84" spans="1:3" x14ac:dyDescent="0.25">
      <c r="A84" s="2">
        <v>46212.400405092594</v>
      </c>
      <c r="B84" t="s">
        <v>31</v>
      </c>
      <c r="C84">
        <v>220.43</v>
      </c>
    </row>
    <row r="85" spans="1:3" x14ac:dyDescent="0.25">
      <c r="A85" s="2">
        <v>46212.400856481479</v>
      </c>
      <c r="B85" t="s">
        <v>31</v>
      </c>
      <c r="C85">
        <v>122.64</v>
      </c>
    </row>
    <row r="86" spans="1:3" x14ac:dyDescent="0.25">
      <c r="A86" s="2">
        <v>46212.400972222225</v>
      </c>
      <c r="B86" t="s">
        <v>32</v>
      </c>
      <c r="C86">
        <v>77.88</v>
      </c>
    </row>
    <row r="87" spans="1:3" x14ac:dyDescent="0.25">
      <c r="A87" s="2">
        <v>46212.401817129627</v>
      </c>
      <c r="B87" t="s">
        <v>32</v>
      </c>
      <c r="C87">
        <v>270.33</v>
      </c>
    </row>
    <row r="88" spans="1:3" x14ac:dyDescent="0.25">
      <c r="A88" s="2">
        <v>46212.402731481481</v>
      </c>
      <c r="B88" t="s">
        <v>31</v>
      </c>
      <c r="C88">
        <v>298.55</v>
      </c>
    </row>
    <row r="89" spans="1:3" x14ac:dyDescent="0.25">
      <c r="A89" s="2">
        <v>46212.403333333335</v>
      </c>
      <c r="B89" t="s">
        <v>31</v>
      </c>
      <c r="C89">
        <v>188.17</v>
      </c>
    </row>
    <row r="90" spans="1:3" x14ac:dyDescent="0.25">
      <c r="A90" s="2">
        <v>46212.404398148145</v>
      </c>
      <c r="B90" t="s">
        <v>32</v>
      </c>
      <c r="C90">
        <v>181.49</v>
      </c>
    </row>
    <row r="91" spans="1:3" x14ac:dyDescent="0.25">
      <c r="A91" s="2">
        <v>46212.404930555553</v>
      </c>
      <c r="B91" t="s">
        <v>32</v>
      </c>
      <c r="C91">
        <v>32.479999999999997</v>
      </c>
    </row>
    <row r="92" spans="1:3" x14ac:dyDescent="0.25">
      <c r="A92" s="2">
        <v>46212.405451388891</v>
      </c>
      <c r="B92" t="s">
        <v>32</v>
      </c>
      <c r="C92">
        <v>211.03</v>
      </c>
    </row>
    <row r="93" spans="1:3" x14ac:dyDescent="0.25">
      <c r="A93" s="2">
        <v>46212.406828703701</v>
      </c>
      <c r="B93" t="s">
        <v>32</v>
      </c>
      <c r="C93">
        <v>35.22</v>
      </c>
    </row>
    <row r="94" spans="1:3" x14ac:dyDescent="0.25">
      <c r="A94" s="2">
        <v>46212.407175925924</v>
      </c>
      <c r="B94" t="s">
        <v>32</v>
      </c>
      <c r="C94">
        <v>296.58999999999997</v>
      </c>
    </row>
    <row r="95" spans="1:3" x14ac:dyDescent="0.25">
      <c r="A95" s="2">
        <v>46212.408854166664</v>
      </c>
      <c r="B95" t="s">
        <v>32</v>
      </c>
      <c r="C95">
        <v>1213.19</v>
      </c>
    </row>
    <row r="96" spans="1:3" x14ac:dyDescent="0.25">
      <c r="A96" s="2">
        <v>46212.409120370372</v>
      </c>
      <c r="B96" t="s">
        <v>31</v>
      </c>
      <c r="C96">
        <v>528.08000000000004</v>
      </c>
    </row>
    <row r="97" spans="1:3" x14ac:dyDescent="0.25">
      <c r="A97" s="2">
        <v>46212.409189814818</v>
      </c>
      <c r="B97" t="s">
        <v>32</v>
      </c>
      <c r="C97">
        <v>257.89</v>
      </c>
    </row>
    <row r="98" spans="1:3" x14ac:dyDescent="0.25">
      <c r="A98" s="2">
        <v>46212.410740740743</v>
      </c>
      <c r="B98" t="s">
        <v>31</v>
      </c>
      <c r="C98">
        <v>1242.98</v>
      </c>
    </row>
    <row r="99" spans="1:3" x14ac:dyDescent="0.25">
      <c r="A99" s="2">
        <v>46212.410856481481</v>
      </c>
      <c r="B99" t="s">
        <v>36</v>
      </c>
      <c r="C99">
        <v>770.38</v>
      </c>
    </row>
    <row r="100" spans="1:3" x14ac:dyDescent="0.25">
      <c r="A100" s="2">
        <v>46212.411956018521</v>
      </c>
      <c r="B100" t="s">
        <v>32</v>
      </c>
      <c r="C100">
        <v>291.74</v>
      </c>
    </row>
    <row r="101" spans="1:3" x14ac:dyDescent="0.25">
      <c r="A101" s="2">
        <v>46212.412662037037</v>
      </c>
      <c r="B101" t="s">
        <v>32</v>
      </c>
      <c r="C101">
        <v>94.33</v>
      </c>
    </row>
    <row r="102" spans="1:3" x14ac:dyDescent="0.25">
      <c r="A102" s="2">
        <v>46212.413495370369</v>
      </c>
      <c r="B102" t="s">
        <v>32</v>
      </c>
      <c r="C102">
        <v>151.6</v>
      </c>
    </row>
    <row r="103" spans="1:3" x14ac:dyDescent="0.25">
      <c r="A103" s="2">
        <v>46212.414490740739</v>
      </c>
      <c r="B103" t="s">
        <v>32</v>
      </c>
      <c r="C103">
        <v>31.64</v>
      </c>
    </row>
    <row r="104" spans="1:3" x14ac:dyDescent="0.25">
      <c r="A104" s="2">
        <v>46212.415219907409</v>
      </c>
      <c r="B104" t="s">
        <v>32</v>
      </c>
      <c r="C104">
        <v>197.04</v>
      </c>
    </row>
    <row r="105" spans="1:3" x14ac:dyDescent="0.25">
      <c r="A105" s="2">
        <v>46212.415509259263</v>
      </c>
      <c r="B105" t="s">
        <v>32</v>
      </c>
      <c r="C105">
        <v>216.7</v>
      </c>
    </row>
    <row r="106" spans="1:3" x14ac:dyDescent="0.25">
      <c r="A106" s="2">
        <v>46212.415555555555</v>
      </c>
      <c r="B106" t="s">
        <v>32</v>
      </c>
      <c r="C106">
        <v>87.22</v>
      </c>
    </row>
    <row r="107" spans="1:3" x14ac:dyDescent="0.25">
      <c r="A107" s="2">
        <v>46212.417256944442</v>
      </c>
      <c r="B107" t="s">
        <v>32</v>
      </c>
      <c r="C107">
        <v>148.47999999999999</v>
      </c>
    </row>
    <row r="108" spans="1:3" x14ac:dyDescent="0.25">
      <c r="A108" s="2">
        <v>46212.417453703703</v>
      </c>
      <c r="B108" t="s">
        <v>32</v>
      </c>
      <c r="C108">
        <v>25.48</v>
      </c>
    </row>
    <row r="109" spans="1:3" x14ac:dyDescent="0.25">
      <c r="A109" s="2">
        <v>46212.418252314812</v>
      </c>
      <c r="B109" t="s">
        <v>31</v>
      </c>
      <c r="C109">
        <v>1430.33</v>
      </c>
    </row>
    <row r="110" spans="1:3" x14ac:dyDescent="0.25">
      <c r="A110" s="2">
        <v>46212.418657407405</v>
      </c>
      <c r="B110" t="s">
        <v>31</v>
      </c>
      <c r="C110">
        <v>275.70999999999998</v>
      </c>
    </row>
    <row r="111" spans="1:3" x14ac:dyDescent="0.25">
      <c r="A111" s="2">
        <v>46212.419004629628</v>
      </c>
      <c r="B111" t="s">
        <v>32</v>
      </c>
      <c r="C111">
        <v>207.49</v>
      </c>
    </row>
    <row r="112" spans="1:3" x14ac:dyDescent="0.25">
      <c r="A112" s="2">
        <v>46212.419340277775</v>
      </c>
      <c r="B112" t="s">
        <v>32</v>
      </c>
      <c r="C112">
        <v>327.22000000000003</v>
      </c>
    </row>
    <row r="113" spans="1:3" x14ac:dyDescent="0.25">
      <c r="A113" s="2">
        <v>46212.419756944444</v>
      </c>
      <c r="B113" t="s">
        <v>32</v>
      </c>
      <c r="C113">
        <v>10.84</v>
      </c>
    </row>
    <row r="114" spans="1:3" x14ac:dyDescent="0.25">
      <c r="A114" s="2">
        <v>46212.422766203701</v>
      </c>
      <c r="B114" t="s">
        <v>31</v>
      </c>
      <c r="C114">
        <v>262.2</v>
      </c>
    </row>
    <row r="115" spans="1:3" x14ac:dyDescent="0.25">
      <c r="A115" s="2">
        <v>46212.423148148147</v>
      </c>
      <c r="B115" t="s">
        <v>32</v>
      </c>
      <c r="C115">
        <v>176.61</v>
      </c>
    </row>
    <row r="116" spans="1:3" x14ac:dyDescent="0.25">
      <c r="A116" s="2">
        <v>46212.424537037034</v>
      </c>
      <c r="B116" t="s">
        <v>36</v>
      </c>
      <c r="C116">
        <v>193.31</v>
      </c>
    </row>
    <row r="117" spans="1:3" x14ac:dyDescent="0.25">
      <c r="A117" s="2">
        <v>46212.424560185187</v>
      </c>
      <c r="B117" t="s">
        <v>32</v>
      </c>
      <c r="C117">
        <v>109.23</v>
      </c>
    </row>
    <row r="118" spans="1:3" x14ac:dyDescent="0.25">
      <c r="A118" s="2">
        <v>46212.426932870374</v>
      </c>
      <c r="B118" t="s">
        <v>32</v>
      </c>
      <c r="C118">
        <v>59.79</v>
      </c>
    </row>
    <row r="119" spans="1:3" x14ac:dyDescent="0.25">
      <c r="A119" s="2">
        <v>46212.427476851852</v>
      </c>
      <c r="B119" t="s">
        <v>31</v>
      </c>
      <c r="C119">
        <v>260.70999999999998</v>
      </c>
    </row>
    <row r="120" spans="1:3" x14ac:dyDescent="0.25">
      <c r="A120" s="2">
        <v>46212.427812499998</v>
      </c>
      <c r="B120" t="s">
        <v>36</v>
      </c>
      <c r="C120">
        <v>276.67</v>
      </c>
    </row>
    <row r="121" spans="1:3" x14ac:dyDescent="0.25">
      <c r="A121">
        <v>46212.428182870368</v>
      </c>
      <c r="B121" t="s">
        <v>31</v>
      </c>
      <c r="C121">
        <v>831.29</v>
      </c>
    </row>
    <row r="122" spans="1:3" x14ac:dyDescent="0.25">
      <c r="A122">
        <v>46212.428726851853</v>
      </c>
      <c r="B122" t="s">
        <v>32</v>
      </c>
      <c r="C122">
        <v>150.79</v>
      </c>
    </row>
    <row r="123" spans="1:3" x14ac:dyDescent="0.25">
      <c r="A123">
        <v>46212.429490740738</v>
      </c>
      <c r="B123" t="s">
        <v>31</v>
      </c>
      <c r="C123">
        <v>610.03</v>
      </c>
    </row>
    <row r="124" spans="1:3" x14ac:dyDescent="0.25">
      <c r="A124">
        <v>46212.430300925924</v>
      </c>
      <c r="B124" t="s">
        <v>32</v>
      </c>
      <c r="C124">
        <v>141.26</v>
      </c>
    </row>
    <row r="125" spans="1:3" x14ac:dyDescent="0.25">
      <c r="A125">
        <v>46212.430358796293</v>
      </c>
      <c r="B125" t="s">
        <v>32</v>
      </c>
      <c r="C125">
        <v>943.49</v>
      </c>
    </row>
    <row r="126" spans="1:3" x14ac:dyDescent="0.25">
      <c r="A126">
        <v>46212.432546296295</v>
      </c>
      <c r="B126" t="s">
        <v>36</v>
      </c>
      <c r="C126">
        <v>280.06</v>
      </c>
    </row>
    <row r="127" spans="1:3" x14ac:dyDescent="0.25">
      <c r="A127">
        <v>46212.432581018518</v>
      </c>
      <c r="B127" t="s">
        <v>31</v>
      </c>
      <c r="C127">
        <v>29.11</v>
      </c>
    </row>
    <row r="128" spans="1:3" x14ac:dyDescent="0.25">
      <c r="A128">
        <v>46212.435219907406</v>
      </c>
      <c r="B128" t="s">
        <v>31</v>
      </c>
      <c r="C128">
        <v>684.89</v>
      </c>
    </row>
    <row r="129" spans="1:3" x14ac:dyDescent="0.25">
      <c r="A129">
        <v>46212.435555555552</v>
      </c>
      <c r="B129" t="s">
        <v>31</v>
      </c>
      <c r="C129">
        <v>43.69</v>
      </c>
    </row>
    <row r="130" spans="1:3" x14ac:dyDescent="0.25">
      <c r="A130">
        <v>46212.435659722221</v>
      </c>
      <c r="B130" t="s">
        <v>32</v>
      </c>
      <c r="C130">
        <v>61.62</v>
      </c>
    </row>
    <row r="131" spans="1:3" x14ac:dyDescent="0.25">
      <c r="A131">
        <v>46212.436400462961</v>
      </c>
      <c r="B131" t="s">
        <v>32</v>
      </c>
      <c r="C131">
        <v>888.63</v>
      </c>
    </row>
    <row r="132" spans="1:3" x14ac:dyDescent="0.25">
      <c r="A132">
        <v>46212.437592592592</v>
      </c>
      <c r="B132" t="s">
        <v>31</v>
      </c>
      <c r="C132">
        <v>133.94999999999999</v>
      </c>
    </row>
    <row r="133" spans="1:3" x14ac:dyDescent="0.25">
      <c r="A133">
        <v>46212.43818287037</v>
      </c>
      <c r="B133" t="s">
        <v>31</v>
      </c>
      <c r="C133">
        <v>115.19</v>
      </c>
    </row>
    <row r="134" spans="1:3" x14ac:dyDescent="0.25">
      <c r="A134">
        <v>46212.439189814817</v>
      </c>
      <c r="B134" t="s">
        <v>36</v>
      </c>
      <c r="C134">
        <v>564.35</v>
      </c>
    </row>
    <row r="135" spans="1:3" x14ac:dyDescent="0.25">
      <c r="A135">
        <v>46212.441296296296</v>
      </c>
      <c r="B135" t="s">
        <v>31</v>
      </c>
      <c r="C135">
        <v>22.72</v>
      </c>
    </row>
    <row r="136" spans="1:3" x14ac:dyDescent="0.25">
      <c r="A136">
        <v>46212.443043981482</v>
      </c>
      <c r="B136" t="s">
        <v>32</v>
      </c>
      <c r="C136">
        <v>656.19</v>
      </c>
    </row>
    <row r="137" spans="1:3" x14ac:dyDescent="0.25">
      <c r="A137">
        <v>46212.443657407406</v>
      </c>
      <c r="B137" t="s">
        <v>31</v>
      </c>
      <c r="C137">
        <v>150.32</v>
      </c>
    </row>
    <row r="138" spans="1:3" x14ac:dyDescent="0.25">
      <c r="A138">
        <v>46212.443796296298</v>
      </c>
      <c r="B138" t="s">
        <v>36</v>
      </c>
      <c r="C138">
        <v>692.19</v>
      </c>
    </row>
    <row r="139" spans="1:3" x14ac:dyDescent="0.25">
      <c r="A139">
        <v>46212.444525462961</v>
      </c>
      <c r="B139" t="s">
        <v>36</v>
      </c>
      <c r="C139">
        <v>100.55</v>
      </c>
    </row>
    <row r="140" spans="1:3" x14ac:dyDescent="0.25">
      <c r="A140">
        <v>46212.445034722223</v>
      </c>
      <c r="B140" t="s">
        <v>31</v>
      </c>
      <c r="C140">
        <v>75.83</v>
      </c>
    </row>
    <row r="141" spans="1:3" x14ac:dyDescent="0.25">
      <c r="A141">
        <v>46212.445925925924</v>
      </c>
      <c r="B141" t="s">
        <v>31</v>
      </c>
      <c r="C141">
        <v>161.35</v>
      </c>
    </row>
    <row r="142" spans="1:3" x14ac:dyDescent="0.25">
      <c r="A142">
        <v>46212.447442129633</v>
      </c>
      <c r="B142" t="s">
        <v>32</v>
      </c>
      <c r="C142">
        <v>71.87</v>
      </c>
    </row>
    <row r="143" spans="1:3" x14ac:dyDescent="0.25">
      <c r="A143">
        <v>46212.448125000003</v>
      </c>
      <c r="B143" t="s">
        <v>36</v>
      </c>
      <c r="C143">
        <v>182.6</v>
      </c>
    </row>
    <row r="144" spans="1:3" x14ac:dyDescent="0.25">
      <c r="A144">
        <v>46212.448391203703</v>
      </c>
      <c r="B144" t="s">
        <v>32</v>
      </c>
      <c r="C144">
        <v>43.51</v>
      </c>
    </row>
    <row r="145" spans="1:3" x14ac:dyDescent="0.25">
      <c r="A145">
        <v>46212.448738425926</v>
      </c>
      <c r="B145" t="s">
        <v>31</v>
      </c>
      <c r="C145">
        <v>191.08</v>
      </c>
    </row>
    <row r="146" spans="1:3" x14ac:dyDescent="0.25">
      <c r="A146">
        <v>46212.449340277781</v>
      </c>
      <c r="B146" t="s">
        <v>31</v>
      </c>
      <c r="C146">
        <v>886.44</v>
      </c>
    </row>
    <row r="147" spans="1:3" x14ac:dyDescent="0.25">
      <c r="A147">
        <v>46212.453043981484</v>
      </c>
      <c r="B147" t="s">
        <v>32</v>
      </c>
      <c r="C147">
        <v>166.14</v>
      </c>
    </row>
    <row r="148" spans="1:3" x14ac:dyDescent="0.25">
      <c r="A148">
        <v>46212.453449074077</v>
      </c>
      <c r="B148" t="s">
        <v>32</v>
      </c>
      <c r="C148">
        <v>234.3</v>
      </c>
    </row>
    <row r="149" spans="1:3" x14ac:dyDescent="0.25">
      <c r="A149">
        <v>46212.454548611109</v>
      </c>
      <c r="B149" t="s">
        <v>32</v>
      </c>
      <c r="C149">
        <v>54.58</v>
      </c>
    </row>
    <row r="150" spans="1:3" x14ac:dyDescent="0.25">
      <c r="A150">
        <v>46212.454895833333</v>
      </c>
      <c r="B150" t="s">
        <v>31</v>
      </c>
      <c r="C150">
        <v>126.95</v>
      </c>
    </row>
    <row r="151" spans="1:3" x14ac:dyDescent="0.25">
      <c r="A151">
        <v>46212.455231481479</v>
      </c>
      <c r="B151" t="s">
        <v>31</v>
      </c>
      <c r="C151">
        <v>268.8</v>
      </c>
    </row>
    <row r="152" spans="1:3" x14ac:dyDescent="0.25">
      <c r="A152">
        <v>46212.456076388888</v>
      </c>
      <c r="B152" t="s">
        <v>32</v>
      </c>
      <c r="C152">
        <v>774.4</v>
      </c>
    </row>
    <row r="153" spans="1:3" x14ac:dyDescent="0.25">
      <c r="A153">
        <v>46212.457152777781</v>
      </c>
      <c r="B153" t="s">
        <v>32</v>
      </c>
      <c r="C153">
        <v>231.54</v>
      </c>
    </row>
    <row r="154" spans="1:3" x14ac:dyDescent="0.25">
      <c r="A154">
        <v>46212.457812499997</v>
      </c>
      <c r="B154" t="s">
        <v>31</v>
      </c>
      <c r="C154">
        <v>276.33</v>
      </c>
    </row>
    <row r="155" spans="1:3" x14ac:dyDescent="0.25">
      <c r="A155">
        <v>46212.458194444444</v>
      </c>
      <c r="B155" t="s">
        <v>32</v>
      </c>
      <c r="C155">
        <v>259.99</v>
      </c>
    </row>
    <row r="156" spans="1:3" x14ac:dyDescent="0.25">
      <c r="A156">
        <v>46212.458587962959</v>
      </c>
      <c r="B156" t="s">
        <v>36</v>
      </c>
      <c r="C156">
        <v>226.15</v>
      </c>
    </row>
    <row r="157" spans="1:3" x14ac:dyDescent="0.25">
      <c r="A157">
        <v>46212.458749999998</v>
      </c>
      <c r="B157" t="s">
        <v>32</v>
      </c>
      <c r="C157">
        <v>73.52</v>
      </c>
    </row>
    <row r="158" spans="1:3" x14ac:dyDescent="0.25">
      <c r="A158">
        <v>46212.458923611113</v>
      </c>
      <c r="B158" t="s">
        <v>31</v>
      </c>
      <c r="C158">
        <v>96.88</v>
      </c>
    </row>
    <row r="159" spans="1:3" x14ac:dyDescent="0.25">
      <c r="A159">
        <v>46212.461365740739</v>
      </c>
      <c r="B159" t="s">
        <v>32</v>
      </c>
      <c r="C159">
        <v>98.06</v>
      </c>
    </row>
    <row r="160" spans="1:3" x14ac:dyDescent="0.25">
      <c r="A160">
        <v>46212.463437500002</v>
      </c>
      <c r="B160" t="s">
        <v>32</v>
      </c>
      <c r="C160">
        <v>529.58000000000004</v>
      </c>
    </row>
    <row r="161" spans="1:3" x14ac:dyDescent="0.25">
      <c r="A161">
        <v>46212.463888888888</v>
      </c>
      <c r="B161" t="s">
        <v>36</v>
      </c>
      <c r="C161">
        <v>881.43</v>
      </c>
    </row>
    <row r="162" spans="1:3" x14ac:dyDescent="0.25">
      <c r="A162">
        <v>46212.464224537034</v>
      </c>
      <c r="B162" t="s">
        <v>32</v>
      </c>
      <c r="C162">
        <v>624.12</v>
      </c>
    </row>
    <row r="163" spans="1:3" x14ac:dyDescent="0.25">
      <c r="A163">
        <v>46212.464467592596</v>
      </c>
      <c r="B163" t="s">
        <v>32</v>
      </c>
      <c r="C163">
        <v>246.73</v>
      </c>
    </row>
    <row r="164" spans="1:3" x14ac:dyDescent="0.25">
      <c r="A164">
        <v>46212.465462962966</v>
      </c>
      <c r="B164" t="s">
        <v>36</v>
      </c>
      <c r="C164">
        <v>124.11</v>
      </c>
    </row>
    <row r="165" spans="1:3" x14ac:dyDescent="0.25">
      <c r="A165">
        <v>46212.465937499997</v>
      </c>
      <c r="B165" t="s">
        <v>32</v>
      </c>
      <c r="C165">
        <v>33.22</v>
      </c>
    </row>
    <row r="166" spans="1:3" x14ac:dyDescent="0.25">
      <c r="A166">
        <v>46212.465995370374</v>
      </c>
      <c r="B166" t="s">
        <v>36</v>
      </c>
      <c r="C166">
        <v>173.73</v>
      </c>
    </row>
    <row r="167" spans="1:3" x14ac:dyDescent="0.25">
      <c r="A167">
        <v>46212.467488425929</v>
      </c>
      <c r="B167" t="s">
        <v>31</v>
      </c>
      <c r="C167">
        <v>19.86</v>
      </c>
    </row>
    <row r="168" spans="1:3" x14ac:dyDescent="0.25">
      <c r="A168">
        <v>46212.467604166668</v>
      </c>
      <c r="B168" t="s">
        <v>36</v>
      </c>
      <c r="C168">
        <v>494.73</v>
      </c>
    </row>
    <row r="169" spans="1:3" x14ac:dyDescent="0.25">
      <c r="A169">
        <v>46212.469050925924</v>
      </c>
      <c r="B169" t="s">
        <v>32</v>
      </c>
      <c r="C169">
        <v>99.75</v>
      </c>
    </row>
    <row r="170" spans="1:3" x14ac:dyDescent="0.25">
      <c r="A170">
        <v>46212.469733796293</v>
      </c>
      <c r="B170" t="s">
        <v>32</v>
      </c>
      <c r="C170">
        <v>961.03</v>
      </c>
    </row>
    <row r="171" spans="1:3" x14ac:dyDescent="0.25">
      <c r="A171">
        <v>46212.470300925925</v>
      </c>
      <c r="B171" t="s">
        <v>32</v>
      </c>
      <c r="C171">
        <v>1498.07</v>
      </c>
    </row>
    <row r="172" spans="1:3" x14ac:dyDescent="0.25">
      <c r="A172">
        <v>46212.470648148148</v>
      </c>
      <c r="B172" t="s">
        <v>32</v>
      </c>
      <c r="C172">
        <v>122.49</v>
      </c>
    </row>
    <row r="173" spans="1:3" x14ac:dyDescent="0.25">
      <c r="A173">
        <v>46212.471168981479</v>
      </c>
      <c r="B173" t="s">
        <v>31</v>
      </c>
      <c r="C173">
        <v>51.27</v>
      </c>
    </row>
    <row r="174" spans="1:3" x14ac:dyDescent="0.25">
      <c r="A174">
        <v>46212.47215277778</v>
      </c>
      <c r="B174" t="s">
        <v>31</v>
      </c>
      <c r="C174">
        <v>139.1</v>
      </c>
    </row>
    <row r="175" spans="1:3" x14ac:dyDescent="0.25">
      <c r="A175">
        <v>46212.473136574074</v>
      </c>
      <c r="B175" t="s">
        <v>32</v>
      </c>
      <c r="C175">
        <v>61.37</v>
      </c>
    </row>
    <row r="176" spans="1:3" x14ac:dyDescent="0.25">
      <c r="A176">
        <v>46212.473437499997</v>
      </c>
      <c r="B176" t="s">
        <v>31</v>
      </c>
      <c r="C176">
        <v>190.08</v>
      </c>
    </row>
    <row r="177" spans="1:3" x14ac:dyDescent="0.25">
      <c r="A177">
        <v>46212.474849537037</v>
      </c>
      <c r="B177" t="s">
        <v>36</v>
      </c>
      <c r="C177">
        <v>276.77999999999997</v>
      </c>
    </row>
    <row r="178" spans="1:3" x14ac:dyDescent="0.25">
      <c r="A178">
        <v>46212.474976851852</v>
      </c>
      <c r="B178" t="s">
        <v>32</v>
      </c>
      <c r="C178">
        <v>709.55</v>
      </c>
    </row>
    <row r="179" spans="1:3" x14ac:dyDescent="0.25">
      <c r="A179">
        <v>46212.476620370369</v>
      </c>
      <c r="B179" t="s">
        <v>36</v>
      </c>
      <c r="C179">
        <v>700.12</v>
      </c>
    </row>
    <row r="180" spans="1:3" x14ac:dyDescent="0.25">
      <c r="A180">
        <v>46212.479178240741</v>
      </c>
      <c r="B180" t="s">
        <v>32</v>
      </c>
      <c r="C180">
        <v>770.96</v>
      </c>
    </row>
    <row r="181" spans="1:3" x14ac:dyDescent="0.25">
      <c r="A181">
        <v>46212.479907407411</v>
      </c>
      <c r="B181" t="s">
        <v>36</v>
      </c>
      <c r="C181">
        <v>288.97000000000003</v>
      </c>
    </row>
    <row r="182" spans="1:3" x14ac:dyDescent="0.25">
      <c r="A182">
        <v>46212.481909722221</v>
      </c>
      <c r="B182" t="s">
        <v>32</v>
      </c>
      <c r="C182">
        <v>755.73</v>
      </c>
    </row>
    <row r="183" spans="1:3" x14ac:dyDescent="0.25">
      <c r="A183">
        <v>46212.484016203707</v>
      </c>
      <c r="B183" t="s">
        <v>31</v>
      </c>
      <c r="C183">
        <v>102.66</v>
      </c>
    </row>
    <row r="184" spans="1:3" x14ac:dyDescent="0.25">
      <c r="A184">
        <v>46212.487986111111</v>
      </c>
      <c r="B184" t="s">
        <v>32</v>
      </c>
      <c r="C184">
        <v>858.3</v>
      </c>
    </row>
    <row r="185" spans="1:3" x14ac:dyDescent="0.25">
      <c r="A185">
        <v>46212.488495370373</v>
      </c>
      <c r="B185" t="s">
        <v>36</v>
      </c>
      <c r="C185">
        <v>241.4</v>
      </c>
    </row>
    <row r="186" spans="1:3" x14ac:dyDescent="0.25">
      <c r="A186">
        <v>46212.490451388891</v>
      </c>
      <c r="B186" t="s">
        <v>31</v>
      </c>
      <c r="C186">
        <v>137.63999999999999</v>
      </c>
    </row>
    <row r="187" spans="1:3" x14ac:dyDescent="0.25">
      <c r="A187">
        <v>46212.493321759262</v>
      </c>
      <c r="B187" t="s">
        <v>36</v>
      </c>
      <c r="C187">
        <v>137.04</v>
      </c>
    </row>
    <row r="188" spans="1:3" x14ac:dyDescent="0.25">
      <c r="A188">
        <v>46212.495150462964</v>
      </c>
      <c r="B188" t="s">
        <v>32</v>
      </c>
      <c r="C188">
        <v>359.94</v>
      </c>
    </row>
    <row r="189" spans="1:3" x14ac:dyDescent="0.25">
      <c r="A189">
        <v>46212.49591435185</v>
      </c>
      <c r="B189" t="s">
        <v>32</v>
      </c>
      <c r="C189">
        <v>47.45</v>
      </c>
    </row>
    <row r="190" spans="1:3" x14ac:dyDescent="0.25">
      <c r="A190">
        <v>46212.495995370373</v>
      </c>
      <c r="B190" t="s">
        <v>31</v>
      </c>
      <c r="C190">
        <v>112.62</v>
      </c>
    </row>
    <row r="191" spans="1:3" x14ac:dyDescent="0.25">
      <c r="A191">
        <v>46212.497384259259</v>
      </c>
      <c r="B191" t="s">
        <v>31</v>
      </c>
      <c r="C191">
        <v>196.73</v>
      </c>
    </row>
    <row r="192" spans="1:3" x14ac:dyDescent="0.25">
      <c r="A192">
        <v>46212.500752314816</v>
      </c>
      <c r="B192" t="s">
        <v>36</v>
      </c>
      <c r="C192">
        <v>250.48</v>
      </c>
    </row>
    <row r="193" spans="1:3" x14ac:dyDescent="0.25">
      <c r="A193">
        <v>46212.50172453704</v>
      </c>
      <c r="B193" t="s">
        <v>32</v>
      </c>
      <c r="C193">
        <v>1072.71</v>
      </c>
    </row>
    <row r="194" spans="1:3" x14ac:dyDescent="0.25">
      <c r="A194">
        <v>46212.502997685187</v>
      </c>
      <c r="B194" t="s">
        <v>31</v>
      </c>
      <c r="C194">
        <v>98.18</v>
      </c>
    </row>
    <row r="195" spans="1:3" x14ac:dyDescent="0.25">
      <c r="A195">
        <v>46212.503333333334</v>
      </c>
      <c r="B195" t="s">
        <v>31</v>
      </c>
      <c r="C195">
        <v>270.20999999999998</v>
      </c>
    </row>
    <row r="196" spans="1:3" x14ac:dyDescent="0.25">
      <c r="A196">
        <v>46212.505115740743</v>
      </c>
      <c r="B196" t="s">
        <v>32</v>
      </c>
      <c r="C196">
        <v>46.56</v>
      </c>
    </row>
    <row r="197" spans="1:3" x14ac:dyDescent="0.25">
      <c r="A197">
        <v>46212.505567129629</v>
      </c>
      <c r="B197" t="s">
        <v>32</v>
      </c>
      <c r="C197">
        <v>23.23</v>
      </c>
    </row>
    <row r="198" spans="1:3" x14ac:dyDescent="0.25">
      <c r="A198">
        <v>46212.506238425929</v>
      </c>
      <c r="B198" t="s">
        <v>31</v>
      </c>
      <c r="C198">
        <v>1070.53</v>
      </c>
    </row>
    <row r="199" spans="1:3" x14ac:dyDescent="0.25">
      <c r="A199">
        <v>46212.506249999999</v>
      </c>
      <c r="B199" t="s">
        <v>32</v>
      </c>
      <c r="C199">
        <v>187.89</v>
      </c>
    </row>
    <row r="200" spans="1:3" x14ac:dyDescent="0.25">
      <c r="A200">
        <v>46212.506886574076</v>
      </c>
      <c r="B200" t="s">
        <v>32</v>
      </c>
      <c r="C200">
        <v>199.64</v>
      </c>
    </row>
    <row r="201" spans="1:3" x14ac:dyDescent="0.25">
      <c r="A201">
        <v>46212.506956018522</v>
      </c>
      <c r="B201" t="s">
        <v>36</v>
      </c>
      <c r="C201">
        <v>60.54</v>
      </c>
    </row>
    <row r="202" spans="1:3" x14ac:dyDescent="0.25">
      <c r="A202">
        <v>46212.507280092592</v>
      </c>
      <c r="B202" t="s">
        <v>32</v>
      </c>
      <c r="C202">
        <v>227.51</v>
      </c>
    </row>
    <row r="203" spans="1:3" x14ac:dyDescent="0.25">
      <c r="A203">
        <v>46212.509733796294</v>
      </c>
      <c r="B203" t="s">
        <v>36</v>
      </c>
      <c r="C203">
        <v>108.74</v>
      </c>
    </row>
    <row r="204" spans="1:3" x14ac:dyDescent="0.25">
      <c r="A204">
        <v>46212.509791666664</v>
      </c>
      <c r="B204" t="s">
        <v>32</v>
      </c>
      <c r="C204">
        <v>19.64</v>
      </c>
    </row>
    <row r="205" spans="1:3" x14ac:dyDescent="0.25">
      <c r="A205">
        <v>46212.510162037041</v>
      </c>
      <c r="B205" t="s">
        <v>32</v>
      </c>
      <c r="C205">
        <v>282.77</v>
      </c>
    </row>
    <row r="206" spans="1:3" x14ac:dyDescent="0.25">
      <c r="A206">
        <v>46212.510289351849</v>
      </c>
      <c r="B206" t="s">
        <v>32</v>
      </c>
      <c r="C206">
        <v>175.65</v>
      </c>
    </row>
    <row r="207" spans="1:3" x14ac:dyDescent="0.25">
      <c r="A207">
        <v>46212.511736111112</v>
      </c>
      <c r="B207" t="s">
        <v>36</v>
      </c>
      <c r="C207">
        <v>628.5</v>
      </c>
    </row>
    <row r="208" spans="1:3" x14ac:dyDescent="0.25">
      <c r="A208">
        <v>46212.517280092594</v>
      </c>
      <c r="B208" t="s">
        <v>32</v>
      </c>
      <c r="C208">
        <v>137.38</v>
      </c>
    </row>
    <row r="209" spans="1:3" x14ac:dyDescent="0.25">
      <c r="A209">
        <v>46212.517766203702</v>
      </c>
      <c r="B209" t="s">
        <v>32</v>
      </c>
      <c r="C209">
        <v>269.68</v>
      </c>
    </row>
    <row r="210" spans="1:3" x14ac:dyDescent="0.25">
      <c r="A210">
        <v>46212.520219907405</v>
      </c>
      <c r="B210" t="s">
        <v>36</v>
      </c>
      <c r="C210">
        <v>211.37</v>
      </c>
    </row>
    <row r="211" spans="1:3" x14ac:dyDescent="0.25">
      <c r="A211">
        <v>46212.521527777775</v>
      </c>
      <c r="B211" t="s">
        <v>32</v>
      </c>
      <c r="C211">
        <v>430.68</v>
      </c>
    </row>
    <row r="212" spans="1:3" x14ac:dyDescent="0.25">
      <c r="A212">
        <v>46212.521620370368</v>
      </c>
      <c r="B212" t="s">
        <v>32</v>
      </c>
      <c r="C212">
        <v>484.05</v>
      </c>
    </row>
    <row r="213" spans="1:3" x14ac:dyDescent="0.25">
      <c r="A213">
        <v>46212.521655092591</v>
      </c>
      <c r="B213" t="s">
        <v>31</v>
      </c>
      <c r="C213">
        <v>1417.13</v>
      </c>
    </row>
    <row r="214" spans="1:3" x14ac:dyDescent="0.25">
      <c r="A214">
        <v>46212.521863425929</v>
      </c>
      <c r="B214" t="s">
        <v>32</v>
      </c>
      <c r="C214">
        <v>142.96</v>
      </c>
    </row>
    <row r="215" spans="1:3" x14ac:dyDescent="0.25">
      <c r="A215">
        <v>46212.521909722222</v>
      </c>
      <c r="B215" t="s">
        <v>31</v>
      </c>
      <c r="C215">
        <v>500.5</v>
      </c>
    </row>
    <row r="216" spans="1:3" x14ac:dyDescent="0.25">
      <c r="A216">
        <v>46212.521932870368</v>
      </c>
      <c r="B216" t="s">
        <v>32</v>
      </c>
      <c r="C216">
        <v>110.9</v>
      </c>
    </row>
    <row r="217" spans="1:3" x14ac:dyDescent="0.25">
      <c r="A217">
        <v>46212.522175925929</v>
      </c>
      <c r="B217" t="s">
        <v>32</v>
      </c>
      <c r="C217">
        <v>295.76</v>
      </c>
    </row>
    <row r="218" spans="1:3" x14ac:dyDescent="0.25">
      <c r="A218">
        <v>46212.522418981483</v>
      </c>
      <c r="B218" t="s">
        <v>32</v>
      </c>
      <c r="C218">
        <v>123.44</v>
      </c>
    </row>
    <row r="219" spans="1:3" x14ac:dyDescent="0.25">
      <c r="A219">
        <v>46212.523125</v>
      </c>
      <c r="B219" t="s">
        <v>32</v>
      </c>
      <c r="C219">
        <v>83.88</v>
      </c>
    </row>
    <row r="220" spans="1:3" x14ac:dyDescent="0.25">
      <c r="A220">
        <v>46212.523865740739</v>
      </c>
      <c r="B220" t="s">
        <v>31</v>
      </c>
      <c r="C220">
        <v>201.83</v>
      </c>
    </row>
    <row r="221" spans="1:3" x14ac:dyDescent="0.25">
      <c r="A221">
        <v>46212.523888888885</v>
      </c>
      <c r="B221" t="s">
        <v>31</v>
      </c>
      <c r="C221">
        <v>73.459999999999994</v>
      </c>
    </row>
    <row r="222" spans="1:3" x14ac:dyDescent="0.25">
      <c r="A222">
        <v>46212.525393518517</v>
      </c>
      <c r="B222" t="s">
        <v>32</v>
      </c>
      <c r="C222">
        <v>37.619999999999997</v>
      </c>
    </row>
    <row r="223" spans="1:3" x14ac:dyDescent="0.25">
      <c r="A223">
        <v>46212.526342592595</v>
      </c>
      <c r="B223" t="s">
        <v>32</v>
      </c>
      <c r="C223">
        <v>175.68</v>
      </c>
    </row>
    <row r="224" spans="1:3" x14ac:dyDescent="0.25">
      <c r="A224">
        <v>46212.526377314818</v>
      </c>
      <c r="B224" t="s">
        <v>31</v>
      </c>
      <c r="C224">
        <v>803.36</v>
      </c>
    </row>
    <row r="225" spans="1:3" x14ac:dyDescent="0.25">
      <c r="A225">
        <v>46212.527141203704</v>
      </c>
      <c r="B225" t="s">
        <v>32</v>
      </c>
      <c r="C225">
        <v>194.79</v>
      </c>
    </row>
    <row r="226" spans="1:3" x14ac:dyDescent="0.25">
      <c r="A226">
        <v>46212.529097222221</v>
      </c>
      <c r="B226" t="s">
        <v>36</v>
      </c>
      <c r="C226">
        <v>130.06</v>
      </c>
    </row>
    <row r="227" spans="1:3" x14ac:dyDescent="0.25">
      <c r="A227">
        <v>46212.529432870368</v>
      </c>
      <c r="B227" t="s">
        <v>32</v>
      </c>
      <c r="C227">
        <v>267.06</v>
      </c>
    </row>
    <row r="228" spans="1:3" x14ac:dyDescent="0.25">
      <c r="A228">
        <v>46212.529513888891</v>
      </c>
      <c r="B228" t="s">
        <v>32</v>
      </c>
      <c r="C228">
        <v>138.78</v>
      </c>
    </row>
    <row r="229" spans="1:3" x14ac:dyDescent="0.25">
      <c r="A229">
        <v>46212.529548611114</v>
      </c>
      <c r="B229" t="s">
        <v>31</v>
      </c>
      <c r="C229">
        <v>11.88</v>
      </c>
    </row>
    <row r="230" spans="1:3" x14ac:dyDescent="0.25">
      <c r="A230">
        <v>46212.530162037037</v>
      </c>
      <c r="B230" t="s">
        <v>36</v>
      </c>
      <c r="C230">
        <v>292.83</v>
      </c>
    </row>
    <row r="231" spans="1:3" x14ac:dyDescent="0.25">
      <c r="A231">
        <v>46212.530162037037</v>
      </c>
      <c r="B231" t="s">
        <v>36</v>
      </c>
      <c r="C231">
        <v>264.17</v>
      </c>
    </row>
    <row r="232" spans="1:3" x14ac:dyDescent="0.25">
      <c r="A232">
        <v>46212.530474537038</v>
      </c>
      <c r="B232" t="s">
        <v>31</v>
      </c>
      <c r="C232">
        <v>167.48</v>
      </c>
    </row>
    <row r="233" spans="1:3" x14ac:dyDescent="0.25">
      <c r="A233">
        <v>46212.53056712963</v>
      </c>
      <c r="B233" t="s">
        <v>32</v>
      </c>
      <c r="C233">
        <v>63.96</v>
      </c>
    </row>
    <row r="234" spans="1:3" x14ac:dyDescent="0.25">
      <c r="A234">
        <v>46212.531469907408</v>
      </c>
      <c r="B234" t="s">
        <v>32</v>
      </c>
      <c r="C234">
        <v>233.61</v>
      </c>
    </row>
    <row r="235" spans="1:3" x14ac:dyDescent="0.25">
      <c r="A235">
        <v>46212.532164351855</v>
      </c>
      <c r="B235" t="s">
        <v>32</v>
      </c>
      <c r="C235">
        <v>76.97</v>
      </c>
    </row>
    <row r="236" spans="1:3" x14ac:dyDescent="0.25">
      <c r="A236">
        <v>46212.532199074078</v>
      </c>
      <c r="B236" t="s">
        <v>31</v>
      </c>
      <c r="C236">
        <v>243.19</v>
      </c>
    </row>
    <row r="237" spans="1:3" x14ac:dyDescent="0.25">
      <c r="A237">
        <v>46212.532905092594</v>
      </c>
      <c r="B237" t="s">
        <v>32</v>
      </c>
      <c r="C237">
        <v>211.32</v>
      </c>
    </row>
    <row r="238" spans="1:3" x14ac:dyDescent="0.25">
      <c r="A238">
        <v>46212.53365740741</v>
      </c>
      <c r="B238" t="s">
        <v>32</v>
      </c>
      <c r="C238">
        <v>64.099999999999994</v>
      </c>
    </row>
    <row r="239" spans="1:3" x14ac:dyDescent="0.25">
      <c r="A239">
        <v>46212.534131944441</v>
      </c>
      <c r="B239" t="s">
        <v>32</v>
      </c>
      <c r="C239">
        <v>1433.96</v>
      </c>
    </row>
    <row r="240" spans="1:3" x14ac:dyDescent="0.25">
      <c r="A240">
        <v>46212.534201388888</v>
      </c>
      <c r="B240" t="s">
        <v>31</v>
      </c>
      <c r="C240">
        <v>273.13</v>
      </c>
    </row>
    <row r="241" spans="1:3" x14ac:dyDescent="0.25">
      <c r="A241">
        <v>46212.534351851849</v>
      </c>
      <c r="B241" t="s">
        <v>32</v>
      </c>
      <c r="C241">
        <v>805.11</v>
      </c>
    </row>
    <row r="242" spans="1:3" x14ac:dyDescent="0.25">
      <c r="A242">
        <v>46212.534826388888</v>
      </c>
      <c r="B242" t="s">
        <v>32</v>
      </c>
      <c r="C242">
        <v>11.77</v>
      </c>
    </row>
    <row r="243" spans="1:3" x14ac:dyDescent="0.25">
      <c r="A243">
        <v>46212.535034722219</v>
      </c>
      <c r="B243" t="s">
        <v>32</v>
      </c>
      <c r="C243">
        <v>58.79</v>
      </c>
    </row>
    <row r="244" spans="1:3" x14ac:dyDescent="0.25">
      <c r="A244">
        <v>46212.535219907404</v>
      </c>
      <c r="B244" t="s">
        <v>31</v>
      </c>
      <c r="C244">
        <v>201.47</v>
      </c>
    </row>
    <row r="245" spans="1:3" x14ac:dyDescent="0.25">
      <c r="A245">
        <v>46212.535949074074</v>
      </c>
      <c r="B245" t="s">
        <v>32</v>
      </c>
      <c r="C245">
        <v>614.66</v>
      </c>
    </row>
    <row r="246" spans="1:3" x14ac:dyDescent="0.25">
      <c r="A246">
        <v>46212.536874999998</v>
      </c>
      <c r="B246" t="s">
        <v>32</v>
      </c>
      <c r="C246">
        <v>151.76</v>
      </c>
    </row>
    <row r="247" spans="1:3" x14ac:dyDescent="0.25">
      <c r="A247">
        <v>46212.537789351853</v>
      </c>
      <c r="B247" t="s">
        <v>32</v>
      </c>
      <c r="C247">
        <v>37.39</v>
      </c>
    </row>
    <row r="248" spans="1:3" x14ac:dyDescent="0.25">
      <c r="A248">
        <v>46212.538437499999</v>
      </c>
      <c r="B248" t="s">
        <v>32</v>
      </c>
      <c r="C248">
        <v>136.59</v>
      </c>
    </row>
    <row r="249" spans="1:3" x14ac:dyDescent="0.25">
      <c r="A249">
        <v>46212.538784722223</v>
      </c>
      <c r="B249" t="s">
        <v>32</v>
      </c>
      <c r="C249">
        <v>169.67</v>
      </c>
    </row>
    <row r="250" spans="1:3" x14ac:dyDescent="0.25">
      <c r="A250">
        <v>46212.539259259262</v>
      </c>
      <c r="B250" t="s">
        <v>31</v>
      </c>
      <c r="C250">
        <v>641.39</v>
      </c>
    </row>
    <row r="251" spans="1:3" x14ac:dyDescent="0.25">
      <c r="A251">
        <v>46212.540555555555</v>
      </c>
      <c r="B251" t="s">
        <v>32</v>
      </c>
      <c r="C251">
        <v>1000.49</v>
      </c>
    </row>
    <row r="252" spans="1:3" x14ac:dyDescent="0.25">
      <c r="A252">
        <v>46212.540856481479</v>
      </c>
      <c r="B252" t="s">
        <v>31</v>
      </c>
      <c r="C252">
        <v>159.86000000000001</v>
      </c>
    </row>
    <row r="253" spans="1:3" x14ac:dyDescent="0.25">
      <c r="A253">
        <v>46212.541145833333</v>
      </c>
      <c r="B253" t="s">
        <v>31</v>
      </c>
      <c r="C253">
        <v>234.21</v>
      </c>
    </row>
    <row r="254" spans="1:3" x14ac:dyDescent="0.25">
      <c r="A254">
        <v>46212.542083333334</v>
      </c>
      <c r="B254" t="s">
        <v>36</v>
      </c>
      <c r="C254">
        <v>232.02</v>
      </c>
    </row>
    <row r="255" spans="1:3" x14ac:dyDescent="0.25">
      <c r="A255">
        <v>46212.54451388889</v>
      </c>
      <c r="B255" t="s">
        <v>31</v>
      </c>
      <c r="C255">
        <v>340.3</v>
      </c>
    </row>
    <row r="256" spans="1:3" x14ac:dyDescent="0.25">
      <c r="A256">
        <v>46212.546423611115</v>
      </c>
      <c r="B256" t="s">
        <v>36</v>
      </c>
      <c r="C256">
        <v>54.83</v>
      </c>
    </row>
    <row r="257" spans="1:3" x14ac:dyDescent="0.25">
      <c r="A257">
        <v>46212.548020833332</v>
      </c>
      <c r="B257" t="s">
        <v>36</v>
      </c>
      <c r="C257">
        <v>59.99</v>
      </c>
    </row>
    <row r="258" spans="1:3" x14ac:dyDescent="0.25">
      <c r="A258">
        <v>46212.548831018517</v>
      </c>
      <c r="B258" t="s">
        <v>32</v>
      </c>
      <c r="C258">
        <v>265.8</v>
      </c>
    </row>
    <row r="259" spans="1:3" x14ac:dyDescent="0.25">
      <c r="A259">
        <v>46212.549664351849</v>
      </c>
      <c r="B259" t="s">
        <v>36</v>
      </c>
      <c r="C259">
        <v>298.67</v>
      </c>
    </row>
    <row r="260" spans="1:3" x14ac:dyDescent="0.25">
      <c r="A260">
        <v>46212.550763888888</v>
      </c>
      <c r="B260" t="s">
        <v>32</v>
      </c>
      <c r="C260">
        <v>148.26</v>
      </c>
    </row>
    <row r="261" spans="1:3" x14ac:dyDescent="0.25">
      <c r="A261">
        <v>46212.552615740744</v>
      </c>
      <c r="B261" t="s">
        <v>32</v>
      </c>
      <c r="C261">
        <v>71.989999999999995</v>
      </c>
    </row>
    <row r="262" spans="1:3" x14ac:dyDescent="0.25">
      <c r="A262">
        <v>46212.55265046296</v>
      </c>
      <c r="B262" t="s">
        <v>32</v>
      </c>
      <c r="C262">
        <v>278.72000000000003</v>
      </c>
    </row>
    <row r="263" spans="1:3" x14ac:dyDescent="0.25">
      <c r="A263">
        <v>46212.552685185183</v>
      </c>
      <c r="B263" t="s">
        <v>36</v>
      </c>
      <c r="C263">
        <v>284.2</v>
      </c>
    </row>
    <row r="264" spans="1:3" x14ac:dyDescent="0.25">
      <c r="A264">
        <v>46212.553124999999</v>
      </c>
      <c r="B264" t="s">
        <v>32</v>
      </c>
      <c r="C264">
        <v>90.84</v>
      </c>
    </row>
    <row r="265" spans="1:3" x14ac:dyDescent="0.25">
      <c r="A265">
        <v>46212.555277777778</v>
      </c>
      <c r="B265" t="s">
        <v>36</v>
      </c>
      <c r="C265">
        <v>222.03</v>
      </c>
    </row>
    <row r="266" spans="1:3" x14ac:dyDescent="0.25">
      <c r="A266">
        <v>46212.555462962962</v>
      </c>
      <c r="B266" t="s">
        <v>36</v>
      </c>
      <c r="C266">
        <v>748.66</v>
      </c>
    </row>
    <row r="267" spans="1:3" x14ac:dyDescent="0.25">
      <c r="A267">
        <v>46212.555810185186</v>
      </c>
      <c r="B267" t="s">
        <v>32</v>
      </c>
      <c r="C267">
        <v>1473.94</v>
      </c>
    </row>
    <row r="268" spans="1:3" x14ac:dyDescent="0.25">
      <c r="A268">
        <v>46212.55641203704</v>
      </c>
      <c r="B268" t="s">
        <v>31</v>
      </c>
      <c r="C268">
        <v>213.32</v>
      </c>
    </row>
    <row r="269" spans="1:3" x14ac:dyDescent="0.25">
      <c r="A269">
        <v>46212.55908564815</v>
      </c>
      <c r="B269" t="s">
        <v>31</v>
      </c>
      <c r="C269">
        <v>223.09</v>
      </c>
    </row>
    <row r="270" spans="1:3" x14ac:dyDescent="0.25">
      <c r="A270">
        <v>46212.559907407405</v>
      </c>
      <c r="B270" t="s">
        <v>32</v>
      </c>
      <c r="C270">
        <v>293.82</v>
      </c>
    </row>
    <row r="271" spans="1:3" x14ac:dyDescent="0.25">
      <c r="A271">
        <v>46212.560543981483</v>
      </c>
      <c r="B271" t="s">
        <v>32</v>
      </c>
      <c r="C271">
        <v>53.29</v>
      </c>
    </row>
    <row r="272" spans="1:3" x14ac:dyDescent="0.25">
      <c r="A272">
        <v>46212.560810185183</v>
      </c>
      <c r="B272" t="s">
        <v>36</v>
      </c>
      <c r="C272">
        <v>137.28</v>
      </c>
    </row>
    <row r="273" spans="1:3" x14ac:dyDescent="0.25">
      <c r="A273">
        <v>46212.561747685184</v>
      </c>
      <c r="B273" t="s">
        <v>32</v>
      </c>
      <c r="C273">
        <v>717.27</v>
      </c>
    </row>
    <row r="274" spans="1:3" x14ac:dyDescent="0.25">
      <c r="A274">
        <v>46212.562465277777</v>
      </c>
      <c r="B274" t="s">
        <v>32</v>
      </c>
      <c r="C274">
        <v>66.25</v>
      </c>
    </row>
    <row r="275" spans="1:3" x14ac:dyDescent="0.25">
      <c r="A275">
        <v>46212.564004629632</v>
      </c>
      <c r="B275" t="s">
        <v>36</v>
      </c>
      <c r="C275">
        <v>155.97</v>
      </c>
    </row>
    <row r="276" spans="1:3" x14ac:dyDescent="0.25">
      <c r="A276">
        <v>46212.565057870372</v>
      </c>
      <c r="B276" t="s">
        <v>32</v>
      </c>
      <c r="C276">
        <v>544.29</v>
      </c>
    </row>
    <row r="277" spans="1:3" x14ac:dyDescent="0.25">
      <c r="A277">
        <v>46212.567349537036</v>
      </c>
      <c r="B277" t="s">
        <v>32</v>
      </c>
      <c r="C277">
        <v>295.45999999999998</v>
      </c>
    </row>
    <row r="278" spans="1:3" x14ac:dyDescent="0.25">
      <c r="A278">
        <v>46212.568287037036</v>
      </c>
      <c r="B278" t="s">
        <v>32</v>
      </c>
      <c r="C278">
        <v>182.51</v>
      </c>
    </row>
    <row r="279" spans="1:3" x14ac:dyDescent="0.25">
      <c r="A279">
        <v>46212.568935185183</v>
      </c>
      <c r="B279" t="s">
        <v>36</v>
      </c>
      <c r="C279">
        <v>143.28</v>
      </c>
    </row>
    <row r="280" spans="1:3" x14ac:dyDescent="0.25">
      <c r="A280">
        <v>46212.569027777776</v>
      </c>
      <c r="B280" t="s">
        <v>32</v>
      </c>
      <c r="C280">
        <v>187.22</v>
      </c>
    </row>
    <row r="281" spans="1:3" x14ac:dyDescent="0.25">
      <c r="A281">
        <v>46212.569699074076</v>
      </c>
      <c r="B281" t="s">
        <v>32</v>
      </c>
      <c r="C281">
        <v>208.3</v>
      </c>
    </row>
    <row r="282" spans="1:3" x14ac:dyDescent="0.25">
      <c r="A282">
        <v>46212.570254629631</v>
      </c>
      <c r="B282" t="s">
        <v>31</v>
      </c>
      <c r="C282">
        <v>953.8</v>
      </c>
    </row>
    <row r="283" spans="1:3" x14ac:dyDescent="0.25">
      <c r="A283">
        <v>46212.570289351854</v>
      </c>
      <c r="B283" t="s">
        <v>31</v>
      </c>
      <c r="C283">
        <v>886.97</v>
      </c>
    </row>
    <row r="284" spans="1:3" x14ac:dyDescent="0.25">
      <c r="A284">
        <v>46212.571168981478</v>
      </c>
      <c r="B284" t="s">
        <v>32</v>
      </c>
      <c r="C284">
        <v>260.89999999999998</v>
      </c>
    </row>
    <row r="285" spans="1:3" x14ac:dyDescent="0.25">
      <c r="A285">
        <v>46212.571793981479</v>
      </c>
      <c r="B285" t="s">
        <v>32</v>
      </c>
      <c r="C285">
        <v>649.22</v>
      </c>
    </row>
    <row r="286" spans="1:3" x14ac:dyDescent="0.25">
      <c r="A286">
        <v>46212.572071759256</v>
      </c>
      <c r="B286" t="s">
        <v>36</v>
      </c>
      <c r="C286">
        <v>283.79000000000002</v>
      </c>
    </row>
    <row r="287" spans="1:3" x14ac:dyDescent="0.25">
      <c r="A287">
        <v>46212.572291666664</v>
      </c>
      <c r="B287" t="s">
        <v>32</v>
      </c>
      <c r="C287">
        <v>289.95</v>
      </c>
    </row>
    <row r="288" spans="1:3" x14ac:dyDescent="0.25">
      <c r="A288">
        <v>46212.573020833333</v>
      </c>
      <c r="B288" t="s">
        <v>32</v>
      </c>
      <c r="C288">
        <v>189.83</v>
      </c>
    </row>
    <row r="289" spans="1:3" x14ac:dyDescent="0.25">
      <c r="A289">
        <v>46212.573530092595</v>
      </c>
      <c r="B289" t="s">
        <v>32</v>
      </c>
      <c r="C289">
        <v>33.54</v>
      </c>
    </row>
    <row r="290" spans="1:3" x14ac:dyDescent="0.25">
      <c r="A290">
        <v>46212.574444444443</v>
      </c>
      <c r="B290" t="s">
        <v>36</v>
      </c>
      <c r="C290">
        <v>551.88</v>
      </c>
    </row>
    <row r="291" spans="1:3" x14ac:dyDescent="0.25">
      <c r="A291">
        <v>46212.575243055559</v>
      </c>
      <c r="B291" t="s">
        <v>32</v>
      </c>
      <c r="C291">
        <v>127.7</v>
      </c>
    </row>
    <row r="292" spans="1:3" x14ac:dyDescent="0.25">
      <c r="A292">
        <v>46212.576203703706</v>
      </c>
      <c r="B292" t="s">
        <v>36</v>
      </c>
      <c r="C292">
        <v>1150.6099999999999</v>
      </c>
    </row>
    <row r="293" spans="1:3" x14ac:dyDescent="0.25">
      <c r="A293">
        <v>46212.576979166668</v>
      </c>
      <c r="B293" t="s">
        <v>36</v>
      </c>
      <c r="C293">
        <v>286.67</v>
      </c>
    </row>
    <row r="294" spans="1:3" x14ac:dyDescent="0.25">
      <c r="A294">
        <v>46212.5778125</v>
      </c>
      <c r="B294" t="s">
        <v>36</v>
      </c>
      <c r="C294">
        <v>77.819999999999993</v>
      </c>
    </row>
    <row r="295" spans="1:3" x14ac:dyDescent="0.25">
      <c r="A295">
        <v>46212.579317129632</v>
      </c>
      <c r="B295" t="s">
        <v>32</v>
      </c>
      <c r="C295">
        <v>175.4</v>
      </c>
    </row>
    <row r="296" spans="1:3" x14ac:dyDescent="0.25">
      <c r="A296">
        <v>46212.580949074072</v>
      </c>
      <c r="B296" t="s">
        <v>31</v>
      </c>
      <c r="C296">
        <v>27.53</v>
      </c>
    </row>
    <row r="297" spans="1:3" x14ac:dyDescent="0.25">
      <c r="A297">
        <v>46212.581273148149</v>
      </c>
      <c r="B297" t="s">
        <v>31</v>
      </c>
      <c r="C297">
        <v>237.13</v>
      </c>
    </row>
    <row r="298" spans="1:3" x14ac:dyDescent="0.25">
      <c r="A298">
        <v>46212.581608796296</v>
      </c>
      <c r="B298" t="s">
        <v>32</v>
      </c>
      <c r="C298">
        <v>289.94</v>
      </c>
    </row>
    <row r="299" spans="1:3" x14ac:dyDescent="0.25">
      <c r="A299">
        <v>46212.581863425927</v>
      </c>
      <c r="B299" t="s">
        <v>32</v>
      </c>
      <c r="C299">
        <v>98.79</v>
      </c>
    </row>
    <row r="300" spans="1:3" x14ac:dyDescent="0.25">
      <c r="A300">
        <v>46212.585497685184</v>
      </c>
      <c r="B300" t="s">
        <v>31</v>
      </c>
      <c r="C300">
        <v>174.59</v>
      </c>
    </row>
    <row r="301" spans="1:3" x14ac:dyDescent="0.25">
      <c r="A301">
        <v>46212.586145833331</v>
      </c>
      <c r="B301" t="s">
        <v>32</v>
      </c>
      <c r="C301">
        <v>185.31</v>
      </c>
    </row>
    <row r="302" spans="1:3" x14ac:dyDescent="0.25">
      <c r="A302">
        <v>46212.586678240739</v>
      </c>
      <c r="B302" t="s">
        <v>32</v>
      </c>
      <c r="C302">
        <v>255.49</v>
      </c>
    </row>
    <row r="303" spans="1:3" x14ac:dyDescent="0.25">
      <c r="A303">
        <v>46212.588576388887</v>
      </c>
      <c r="B303" t="s">
        <v>32</v>
      </c>
      <c r="C303">
        <v>251.87</v>
      </c>
    </row>
    <row r="304" spans="1:3" x14ac:dyDescent="0.25">
      <c r="A304">
        <v>46212.589722222219</v>
      </c>
      <c r="B304" t="s">
        <v>32</v>
      </c>
      <c r="C304">
        <v>1053.44</v>
      </c>
    </row>
    <row r="305" spans="1:3" x14ac:dyDescent="0.25">
      <c r="A305">
        <v>46212.590115740742</v>
      </c>
      <c r="B305" t="s">
        <v>31</v>
      </c>
      <c r="C305">
        <v>276.69</v>
      </c>
    </row>
    <row r="306" spans="1:3" x14ac:dyDescent="0.25">
      <c r="A306">
        <v>46212.591157407405</v>
      </c>
      <c r="B306" t="s">
        <v>31</v>
      </c>
      <c r="C306">
        <v>632.88</v>
      </c>
    </row>
    <row r="307" spans="1:3" x14ac:dyDescent="0.25">
      <c r="A307">
        <v>46212.591435185182</v>
      </c>
      <c r="B307" t="s">
        <v>32</v>
      </c>
      <c r="C307">
        <v>39.409999999999997</v>
      </c>
    </row>
    <row r="308" spans="1:3" x14ac:dyDescent="0.25">
      <c r="A308">
        <v>46212.592534722222</v>
      </c>
      <c r="B308" t="s">
        <v>32</v>
      </c>
      <c r="C308">
        <v>267.02</v>
      </c>
    </row>
    <row r="309" spans="1:3" x14ac:dyDescent="0.25">
      <c r="A309">
        <v>46212.592858796299</v>
      </c>
      <c r="B309" t="s">
        <v>32</v>
      </c>
      <c r="C309">
        <v>285.25</v>
      </c>
    </row>
    <row r="310" spans="1:3" x14ac:dyDescent="0.25">
      <c r="A310">
        <v>46212.595567129632</v>
      </c>
      <c r="B310" t="s">
        <v>31</v>
      </c>
      <c r="C310">
        <v>38.44</v>
      </c>
    </row>
    <row r="311" spans="1:3" x14ac:dyDescent="0.25">
      <c r="A311">
        <v>46212.596550925926</v>
      </c>
      <c r="B311" t="s">
        <v>31</v>
      </c>
      <c r="C311">
        <v>195.45</v>
      </c>
    </row>
    <row r="312" spans="1:3" x14ac:dyDescent="0.25">
      <c r="A312">
        <v>46212.599074074074</v>
      </c>
      <c r="B312" t="s">
        <v>31</v>
      </c>
      <c r="C312">
        <v>726.73</v>
      </c>
    </row>
    <row r="313" spans="1:3" x14ac:dyDescent="0.25">
      <c r="A313">
        <v>46212.599768518521</v>
      </c>
      <c r="B313" t="s">
        <v>31</v>
      </c>
      <c r="C313">
        <v>120.28</v>
      </c>
    </row>
    <row r="314" spans="1:3" x14ac:dyDescent="0.25">
      <c r="A314">
        <v>46212.601875</v>
      </c>
      <c r="B314" t="s">
        <v>32</v>
      </c>
      <c r="C314">
        <v>243.45</v>
      </c>
    </row>
    <row r="315" spans="1:3" x14ac:dyDescent="0.25">
      <c r="A315">
        <v>46212.602303240739</v>
      </c>
      <c r="B315" t="s">
        <v>36</v>
      </c>
      <c r="C315">
        <v>289.10000000000002</v>
      </c>
    </row>
    <row r="316" spans="1:3" x14ac:dyDescent="0.25">
      <c r="A316">
        <v>46212.602326388886</v>
      </c>
      <c r="B316" t="s">
        <v>32</v>
      </c>
      <c r="C316">
        <v>287.82</v>
      </c>
    </row>
    <row r="317" spans="1:3" x14ac:dyDescent="0.25">
      <c r="A317">
        <v>46212.603032407409</v>
      </c>
      <c r="B317" t="s">
        <v>36</v>
      </c>
      <c r="C317">
        <v>115.75</v>
      </c>
    </row>
    <row r="318" spans="1:3" x14ac:dyDescent="0.25">
      <c r="A318">
        <v>46212.603402777779</v>
      </c>
      <c r="B318" t="s">
        <v>32</v>
      </c>
      <c r="C318">
        <v>285.27999999999997</v>
      </c>
    </row>
    <row r="319" spans="1:3" x14ac:dyDescent="0.25">
      <c r="A319">
        <v>46212.604687500003</v>
      </c>
      <c r="B319" t="s">
        <v>36</v>
      </c>
      <c r="C319">
        <v>209.96</v>
      </c>
    </row>
    <row r="320" spans="1:3" x14ac:dyDescent="0.25">
      <c r="A320">
        <v>46212.605150462965</v>
      </c>
      <c r="B320" t="s">
        <v>32</v>
      </c>
      <c r="C320">
        <v>116.09</v>
      </c>
    </row>
    <row r="321" spans="1:3" x14ac:dyDescent="0.25">
      <c r="A321">
        <v>46212.606631944444</v>
      </c>
      <c r="B321" t="s">
        <v>31</v>
      </c>
      <c r="C321">
        <v>18.12</v>
      </c>
    </row>
    <row r="322" spans="1:3" x14ac:dyDescent="0.25">
      <c r="A322">
        <v>46212.607395833336</v>
      </c>
      <c r="B322" t="s">
        <v>36</v>
      </c>
      <c r="C322">
        <v>260.43</v>
      </c>
    </row>
    <row r="323" spans="1:3" x14ac:dyDescent="0.25">
      <c r="A323">
        <v>46212.607928240737</v>
      </c>
      <c r="B323" t="s">
        <v>31</v>
      </c>
      <c r="C323">
        <v>210.05</v>
      </c>
    </row>
    <row r="324" spans="1:3" x14ac:dyDescent="0.25">
      <c r="A324">
        <v>46212.609571759262</v>
      </c>
      <c r="B324" t="s">
        <v>31</v>
      </c>
      <c r="C324">
        <v>240.86</v>
      </c>
    </row>
    <row r="325" spans="1:3" x14ac:dyDescent="0.25">
      <c r="A325">
        <v>46212.612025462964</v>
      </c>
      <c r="B325" t="s">
        <v>32</v>
      </c>
      <c r="C325">
        <v>218.96</v>
      </c>
    </row>
    <row r="326" spans="1:3" x14ac:dyDescent="0.25">
      <c r="A326">
        <v>46212.612835648149</v>
      </c>
      <c r="B326" t="s">
        <v>36</v>
      </c>
      <c r="C326">
        <v>283.39999999999998</v>
      </c>
    </row>
    <row r="327" spans="1:3" x14ac:dyDescent="0.25">
      <c r="A327">
        <v>46212.613506944443</v>
      </c>
      <c r="B327" t="s">
        <v>36</v>
      </c>
      <c r="C327">
        <v>67.819999999999993</v>
      </c>
    </row>
    <row r="328" spans="1:3" x14ac:dyDescent="0.25">
      <c r="A328">
        <v>46212.613622685189</v>
      </c>
      <c r="B328" t="s">
        <v>36</v>
      </c>
      <c r="C328">
        <v>173.65</v>
      </c>
    </row>
    <row r="329" spans="1:3" x14ac:dyDescent="0.25">
      <c r="A329">
        <v>46212.615787037037</v>
      </c>
      <c r="B329" t="s">
        <v>36</v>
      </c>
      <c r="C329">
        <v>122.13</v>
      </c>
    </row>
    <row r="330" spans="1:3" x14ac:dyDescent="0.25">
      <c r="A330">
        <v>46212.615879629629</v>
      </c>
      <c r="B330" t="s">
        <v>31</v>
      </c>
      <c r="C330">
        <v>120.87</v>
      </c>
    </row>
    <row r="331" spans="1:3" x14ac:dyDescent="0.25">
      <c r="A331">
        <v>46212.616863425923</v>
      </c>
      <c r="B331" t="s">
        <v>31</v>
      </c>
      <c r="C331">
        <v>272.72000000000003</v>
      </c>
    </row>
    <row r="332" spans="1:3" x14ac:dyDescent="0.25">
      <c r="A332">
        <v>46212.617800925924</v>
      </c>
      <c r="B332" t="s">
        <v>32</v>
      </c>
      <c r="C332">
        <v>92.81</v>
      </c>
    </row>
    <row r="333" spans="1:3" x14ac:dyDescent="0.25">
      <c r="A333">
        <v>46212.618773148148</v>
      </c>
      <c r="B333" t="s">
        <v>32</v>
      </c>
      <c r="C333">
        <v>12.3</v>
      </c>
    </row>
    <row r="334" spans="1:3" x14ac:dyDescent="0.25">
      <c r="A334">
        <v>46212.618784722225</v>
      </c>
      <c r="B334" t="s">
        <v>32</v>
      </c>
      <c r="C334">
        <v>671</v>
      </c>
    </row>
    <row r="335" spans="1:3" x14ac:dyDescent="0.25">
      <c r="A335">
        <v>46212.618935185186</v>
      </c>
      <c r="B335" t="s">
        <v>36</v>
      </c>
      <c r="C335">
        <v>246.28</v>
      </c>
    </row>
    <row r="336" spans="1:3" x14ac:dyDescent="0.25">
      <c r="A336">
        <v>46212.619583333333</v>
      </c>
      <c r="B336" t="s">
        <v>32</v>
      </c>
      <c r="C336">
        <v>51.35</v>
      </c>
    </row>
    <row r="337" spans="1:3" x14ac:dyDescent="0.25">
      <c r="A337">
        <v>46212.620798611111</v>
      </c>
      <c r="B337" t="s">
        <v>31</v>
      </c>
      <c r="C337">
        <v>120.57</v>
      </c>
    </row>
    <row r="338" spans="1:3" x14ac:dyDescent="0.25">
      <c r="A338">
        <v>46212.621759259258</v>
      </c>
      <c r="B338" t="s">
        <v>32</v>
      </c>
      <c r="C338">
        <v>42.72</v>
      </c>
    </row>
    <row r="339" spans="1:3" x14ac:dyDescent="0.25">
      <c r="A339">
        <v>46212.622442129628</v>
      </c>
      <c r="B339" t="s">
        <v>36</v>
      </c>
      <c r="C339">
        <v>262.33</v>
      </c>
    </row>
    <row r="340" spans="1:3" x14ac:dyDescent="0.25">
      <c r="A340">
        <v>46212.622523148151</v>
      </c>
      <c r="B340" t="s">
        <v>32</v>
      </c>
      <c r="C340">
        <v>235.31</v>
      </c>
    </row>
    <row r="341" spans="1:3" x14ac:dyDescent="0.25">
      <c r="A341">
        <v>46212.622696759259</v>
      </c>
      <c r="B341" t="s">
        <v>31</v>
      </c>
      <c r="C341">
        <v>62.66</v>
      </c>
    </row>
    <row r="342" spans="1:3" x14ac:dyDescent="0.25">
      <c r="A342">
        <v>46212.623090277775</v>
      </c>
      <c r="B342" t="s">
        <v>32</v>
      </c>
      <c r="C342">
        <v>331.58</v>
      </c>
    </row>
    <row r="343" spans="1:3" x14ac:dyDescent="0.25">
      <c r="A343">
        <v>46212.623252314814</v>
      </c>
      <c r="B343" t="s">
        <v>31</v>
      </c>
      <c r="C343">
        <v>167.89</v>
      </c>
    </row>
    <row r="344" spans="1:3" x14ac:dyDescent="0.25">
      <c r="A344">
        <v>46212.624398148146</v>
      </c>
      <c r="B344" t="s">
        <v>32</v>
      </c>
      <c r="C344">
        <v>55.65</v>
      </c>
    </row>
    <row r="345" spans="1:3" x14ac:dyDescent="0.25">
      <c r="A345">
        <v>46212.626018518517</v>
      </c>
      <c r="B345" t="s">
        <v>32</v>
      </c>
      <c r="C345">
        <v>235.26</v>
      </c>
    </row>
    <row r="346" spans="1:3" x14ac:dyDescent="0.25">
      <c r="A346">
        <v>46212.626064814816</v>
      </c>
      <c r="B346" t="s">
        <v>36</v>
      </c>
      <c r="C346">
        <v>244.78</v>
      </c>
    </row>
    <row r="347" spans="1:3" x14ac:dyDescent="0.25">
      <c r="A347">
        <v>46212.627824074072</v>
      </c>
      <c r="B347" t="s">
        <v>32</v>
      </c>
      <c r="C347">
        <v>200.76</v>
      </c>
    </row>
    <row r="348" spans="1:3" x14ac:dyDescent="0.25">
      <c r="A348">
        <v>46212.629259259258</v>
      </c>
      <c r="B348" t="s">
        <v>32</v>
      </c>
      <c r="C348">
        <v>273.16000000000003</v>
      </c>
    </row>
    <row r="349" spans="1:3" x14ac:dyDescent="0.25">
      <c r="A349">
        <v>46212.630740740744</v>
      </c>
      <c r="B349" t="s">
        <v>36</v>
      </c>
      <c r="C349">
        <v>197.23</v>
      </c>
    </row>
    <row r="350" spans="1:3" x14ac:dyDescent="0.25">
      <c r="A350">
        <v>46212.632581018515</v>
      </c>
      <c r="B350" t="s">
        <v>31</v>
      </c>
      <c r="C350">
        <v>163.94</v>
      </c>
    </row>
    <row r="351" spans="1:3" x14ac:dyDescent="0.25">
      <c r="A351">
        <v>46212.6328587963</v>
      </c>
      <c r="B351" t="s">
        <v>32</v>
      </c>
      <c r="C351">
        <v>280.26</v>
      </c>
    </row>
    <row r="352" spans="1:3" x14ac:dyDescent="0.25">
      <c r="A352">
        <v>46212.632939814815</v>
      </c>
      <c r="B352" t="s">
        <v>32</v>
      </c>
      <c r="C352">
        <v>139.52000000000001</v>
      </c>
    </row>
    <row r="353" spans="1:3" x14ac:dyDescent="0.25">
      <c r="A353">
        <v>46212.633090277777</v>
      </c>
      <c r="B353" t="s">
        <v>36</v>
      </c>
      <c r="C353">
        <v>102.32</v>
      </c>
    </row>
    <row r="354" spans="1:3" x14ac:dyDescent="0.25">
      <c r="A354">
        <v>46212.633564814816</v>
      </c>
      <c r="B354" t="s">
        <v>32</v>
      </c>
      <c r="C354">
        <v>694.76</v>
      </c>
    </row>
    <row r="355" spans="1:3" x14ac:dyDescent="0.25">
      <c r="A355">
        <v>46212.633761574078</v>
      </c>
      <c r="B355" t="s">
        <v>31</v>
      </c>
      <c r="C355">
        <v>267.86</v>
      </c>
    </row>
    <row r="356" spans="1:3" x14ac:dyDescent="0.25">
      <c r="A356">
        <v>46212.634074074071</v>
      </c>
      <c r="B356" t="s">
        <v>32</v>
      </c>
      <c r="C356">
        <v>87.45</v>
      </c>
    </row>
    <row r="357" spans="1:3" x14ac:dyDescent="0.25">
      <c r="A357">
        <v>46212.635335648149</v>
      </c>
      <c r="B357" t="s">
        <v>31</v>
      </c>
      <c r="C357">
        <v>598.83000000000004</v>
      </c>
    </row>
    <row r="358" spans="1:3" x14ac:dyDescent="0.25">
      <c r="A358">
        <v>46212.635972222219</v>
      </c>
      <c r="B358" t="s">
        <v>32</v>
      </c>
      <c r="C358">
        <v>289.81</v>
      </c>
    </row>
    <row r="359" spans="1:3" x14ac:dyDescent="0.25">
      <c r="A359">
        <v>46212.636828703704</v>
      </c>
      <c r="B359" t="s">
        <v>36</v>
      </c>
      <c r="C359">
        <v>706.02</v>
      </c>
    </row>
    <row r="360" spans="1:3" x14ac:dyDescent="0.25">
      <c r="A360">
        <v>46212.637199074074</v>
      </c>
      <c r="B360" t="s">
        <v>31</v>
      </c>
      <c r="C360">
        <v>109.02</v>
      </c>
    </row>
    <row r="361" spans="1:3" x14ac:dyDescent="0.25">
      <c r="A361">
        <v>46212.63726851852</v>
      </c>
      <c r="B361" t="s">
        <v>31</v>
      </c>
      <c r="C361">
        <v>272.43</v>
      </c>
    </row>
    <row r="362" spans="1:3" x14ac:dyDescent="0.25">
      <c r="A362">
        <v>46212.637673611112</v>
      </c>
      <c r="B362" t="s">
        <v>32</v>
      </c>
      <c r="C362">
        <v>134.69</v>
      </c>
    </row>
    <row r="363" spans="1:3" x14ac:dyDescent="0.25">
      <c r="A363">
        <v>46212.638298611113</v>
      </c>
      <c r="B363" t="s">
        <v>31</v>
      </c>
      <c r="C363">
        <v>66.540000000000006</v>
      </c>
    </row>
    <row r="364" spans="1:3" x14ac:dyDescent="0.25">
      <c r="A364">
        <v>46212.639189814814</v>
      </c>
      <c r="B364" t="s">
        <v>32</v>
      </c>
      <c r="C364">
        <v>27.96</v>
      </c>
    </row>
    <row r="365" spans="1:3" x14ac:dyDescent="0.25">
      <c r="A365">
        <v>46212.640104166669</v>
      </c>
      <c r="B365" t="s">
        <v>31</v>
      </c>
      <c r="C365">
        <v>677.58</v>
      </c>
    </row>
    <row r="366" spans="1:3" x14ac:dyDescent="0.25">
      <c r="A366">
        <v>46212.641759259262</v>
      </c>
      <c r="B366" t="s">
        <v>32</v>
      </c>
      <c r="C366">
        <v>137.41</v>
      </c>
    </row>
    <row r="367" spans="1:3" x14ac:dyDescent="0.25">
      <c r="A367">
        <v>46212.642337962963</v>
      </c>
      <c r="B367" t="s">
        <v>32</v>
      </c>
      <c r="C367">
        <v>281.45</v>
      </c>
    </row>
    <row r="368" spans="1:3" x14ac:dyDescent="0.25">
      <c r="A368">
        <v>46212.642523148148</v>
      </c>
      <c r="B368" t="s">
        <v>32</v>
      </c>
      <c r="C368">
        <v>295.38</v>
      </c>
    </row>
    <row r="369" spans="1:3" x14ac:dyDescent="0.25">
      <c r="A369">
        <v>46212.643217592595</v>
      </c>
      <c r="B369" t="s">
        <v>32</v>
      </c>
      <c r="C369">
        <v>590.30999999999995</v>
      </c>
    </row>
    <row r="370" spans="1:3" x14ac:dyDescent="0.25">
      <c r="A370">
        <v>46212.64466435185</v>
      </c>
      <c r="B370" t="s">
        <v>31</v>
      </c>
      <c r="C370">
        <v>29.06</v>
      </c>
    </row>
    <row r="371" spans="1:3" x14ac:dyDescent="0.25">
      <c r="A371">
        <v>46212.644884259258</v>
      </c>
      <c r="B371" t="s">
        <v>32</v>
      </c>
      <c r="C371">
        <v>255.54</v>
      </c>
    </row>
    <row r="372" spans="1:3" x14ac:dyDescent="0.25">
      <c r="A372">
        <v>46212.644918981481</v>
      </c>
      <c r="B372" t="s">
        <v>32</v>
      </c>
      <c r="C372">
        <v>185.22</v>
      </c>
    </row>
    <row r="373" spans="1:3" x14ac:dyDescent="0.25">
      <c r="A373">
        <v>46212.644988425927</v>
      </c>
      <c r="B373" t="s">
        <v>32</v>
      </c>
      <c r="C373">
        <v>239.61</v>
      </c>
    </row>
    <row r="374" spans="1:3" x14ac:dyDescent="0.25">
      <c r="A374">
        <v>46212.647129629629</v>
      </c>
      <c r="B374" t="s">
        <v>31</v>
      </c>
      <c r="C374">
        <v>125.42</v>
      </c>
    </row>
    <row r="375" spans="1:3" x14ac:dyDescent="0.25">
      <c r="A375">
        <v>46212.647789351853</v>
      </c>
      <c r="B375" t="s">
        <v>31</v>
      </c>
      <c r="C375">
        <v>153.37</v>
      </c>
    </row>
    <row r="376" spans="1:3" x14ac:dyDescent="0.25">
      <c r="A376">
        <v>46212.64916666667</v>
      </c>
      <c r="B376" t="s">
        <v>32</v>
      </c>
      <c r="C376">
        <v>45.27</v>
      </c>
    </row>
    <row r="377" spans="1:3" x14ac:dyDescent="0.25">
      <c r="A377">
        <v>46212.650949074072</v>
      </c>
      <c r="B377" t="s">
        <v>32</v>
      </c>
      <c r="C377">
        <v>215.66</v>
      </c>
    </row>
    <row r="378" spans="1:3" x14ac:dyDescent="0.25">
      <c r="A378">
        <v>46212.650983796295</v>
      </c>
      <c r="B378" t="s">
        <v>32</v>
      </c>
      <c r="C378">
        <v>272.88</v>
      </c>
    </row>
    <row r="379" spans="1:3" x14ac:dyDescent="0.25">
      <c r="A379">
        <v>46212.65284722222</v>
      </c>
      <c r="B379" t="s">
        <v>32</v>
      </c>
      <c r="C379">
        <v>176.93</v>
      </c>
    </row>
    <row r="380" spans="1:3" x14ac:dyDescent="0.25">
      <c r="A380">
        <v>46212.653148148151</v>
      </c>
      <c r="B380" t="s">
        <v>31</v>
      </c>
      <c r="C380">
        <v>81.38</v>
      </c>
    </row>
    <row r="381" spans="1:3" x14ac:dyDescent="0.25">
      <c r="A381">
        <v>46212.653564814813</v>
      </c>
      <c r="B381" t="s">
        <v>32</v>
      </c>
      <c r="C381">
        <v>188.46</v>
      </c>
    </row>
    <row r="382" spans="1:3" x14ac:dyDescent="0.25">
      <c r="A382">
        <v>46212.653784722221</v>
      </c>
      <c r="B382" t="s">
        <v>31</v>
      </c>
      <c r="C382">
        <v>709.73</v>
      </c>
    </row>
    <row r="383" spans="1:3" x14ac:dyDescent="0.25">
      <c r="A383">
        <v>46212.654537037037</v>
      </c>
      <c r="B383" t="s">
        <v>36</v>
      </c>
      <c r="C383">
        <v>53.73</v>
      </c>
    </row>
    <row r="384" spans="1:3" x14ac:dyDescent="0.25">
      <c r="A384">
        <v>46212.65457175926</v>
      </c>
      <c r="B384" t="s">
        <v>31</v>
      </c>
      <c r="C384">
        <v>436.1</v>
      </c>
    </row>
    <row r="385" spans="1:3" x14ac:dyDescent="0.25">
      <c r="A385">
        <v>46212.654629629629</v>
      </c>
      <c r="B385" t="s">
        <v>31</v>
      </c>
      <c r="C385">
        <v>662.03</v>
      </c>
    </row>
    <row r="386" spans="1:3" x14ac:dyDescent="0.25">
      <c r="A386">
        <v>46212.655636574076</v>
      </c>
      <c r="B386" t="s">
        <v>32</v>
      </c>
      <c r="C386">
        <v>257.33</v>
      </c>
    </row>
    <row r="387" spans="1:3" x14ac:dyDescent="0.25">
      <c r="A387">
        <v>46212.655694444446</v>
      </c>
      <c r="B387" t="s">
        <v>31</v>
      </c>
      <c r="C387">
        <v>769.03</v>
      </c>
    </row>
    <row r="388" spans="1:3" x14ac:dyDescent="0.25">
      <c r="A388">
        <v>46212.655810185184</v>
      </c>
      <c r="B388" t="s">
        <v>32</v>
      </c>
      <c r="C388">
        <v>47.47</v>
      </c>
    </row>
    <row r="389" spans="1:3" x14ac:dyDescent="0.25">
      <c r="A389">
        <v>46212.656076388892</v>
      </c>
      <c r="B389" t="s">
        <v>32</v>
      </c>
      <c r="C389">
        <v>111.5</v>
      </c>
    </row>
    <row r="390" spans="1:3" x14ac:dyDescent="0.25">
      <c r="A390">
        <v>46212.657326388886</v>
      </c>
      <c r="B390" t="s">
        <v>32</v>
      </c>
      <c r="C390">
        <v>273.14999999999998</v>
      </c>
    </row>
    <row r="391" spans="1:3" x14ac:dyDescent="0.25">
      <c r="A391">
        <v>46212.658113425925</v>
      </c>
      <c r="B391" t="s">
        <v>31</v>
      </c>
      <c r="C391">
        <v>158.32</v>
      </c>
    </row>
    <row r="392" spans="1:3" x14ac:dyDescent="0.25">
      <c r="A392">
        <v>46212.658668981479</v>
      </c>
      <c r="B392" t="s">
        <v>32</v>
      </c>
      <c r="C392">
        <v>288.29000000000002</v>
      </c>
    </row>
    <row r="393" spans="1:3" x14ac:dyDescent="0.25">
      <c r="A393">
        <v>46212.658912037034</v>
      </c>
      <c r="B393" t="s">
        <v>31</v>
      </c>
      <c r="C393">
        <v>797.86</v>
      </c>
    </row>
    <row r="394" spans="1:3" x14ac:dyDescent="0.25">
      <c r="A394">
        <v>46212.65896990741</v>
      </c>
      <c r="B394" t="s">
        <v>32</v>
      </c>
      <c r="C394">
        <v>14.11</v>
      </c>
    </row>
    <row r="395" spans="1:3" x14ac:dyDescent="0.25">
      <c r="A395">
        <v>46212.659548611111</v>
      </c>
      <c r="B395" t="s">
        <v>32</v>
      </c>
      <c r="C395">
        <v>112.72</v>
      </c>
    </row>
    <row r="396" spans="1:3" x14ac:dyDescent="0.25">
      <c r="A396">
        <v>46212.660092592596</v>
      </c>
      <c r="B396" t="s">
        <v>31</v>
      </c>
      <c r="C396">
        <v>632.16999999999996</v>
      </c>
    </row>
    <row r="397" spans="1:3" x14ac:dyDescent="0.25">
      <c r="A397">
        <v>46212.660509259258</v>
      </c>
      <c r="B397" t="s">
        <v>36</v>
      </c>
      <c r="C397">
        <v>172.46</v>
      </c>
    </row>
    <row r="398" spans="1:3" x14ac:dyDescent="0.25">
      <c r="A398">
        <v>46212.663217592592</v>
      </c>
      <c r="B398" t="s">
        <v>36</v>
      </c>
      <c r="C398">
        <v>289.45999999999998</v>
      </c>
    </row>
    <row r="399" spans="1:3" x14ac:dyDescent="0.25">
      <c r="A399">
        <v>46212.663888888892</v>
      </c>
      <c r="B399" t="s">
        <v>32</v>
      </c>
      <c r="C399">
        <v>192.78</v>
      </c>
    </row>
    <row r="400" spans="1:3" x14ac:dyDescent="0.25">
      <c r="A400">
        <v>46212.663969907408</v>
      </c>
      <c r="B400" t="s">
        <v>36</v>
      </c>
      <c r="C400">
        <v>164.9</v>
      </c>
    </row>
    <row r="401" spans="1:3" x14ac:dyDescent="0.25">
      <c r="A401">
        <v>46212.664722222224</v>
      </c>
      <c r="B401" t="s">
        <v>32</v>
      </c>
      <c r="C401">
        <v>68.09</v>
      </c>
    </row>
    <row r="402" spans="1:3" x14ac:dyDescent="0.25">
      <c r="A402">
        <v>46212.665300925924</v>
      </c>
      <c r="B402" t="s">
        <v>32</v>
      </c>
      <c r="C402">
        <v>52.09</v>
      </c>
    </row>
    <row r="403" spans="1:3" x14ac:dyDescent="0.25">
      <c r="A403">
        <v>46212.666331018518</v>
      </c>
      <c r="B403" t="s">
        <v>36</v>
      </c>
      <c r="C403">
        <v>1489.29</v>
      </c>
    </row>
    <row r="404" spans="1:3" x14ac:dyDescent="0.25">
      <c r="A404">
        <v>46212.667337962965</v>
      </c>
      <c r="B404" t="s">
        <v>36</v>
      </c>
      <c r="C404">
        <v>56.8</v>
      </c>
    </row>
    <row r="405" spans="1:3" x14ac:dyDescent="0.25">
      <c r="A405">
        <v>46212.667349537034</v>
      </c>
      <c r="B405" t="s">
        <v>31</v>
      </c>
      <c r="C405">
        <v>40.78</v>
      </c>
    </row>
    <row r="406" spans="1:3" x14ac:dyDescent="0.25">
      <c r="A406">
        <v>46212.669236111113</v>
      </c>
      <c r="B406" t="s">
        <v>31</v>
      </c>
      <c r="C406">
        <v>54.65</v>
      </c>
    </row>
    <row r="407" spans="1:3" x14ac:dyDescent="0.25">
      <c r="A407">
        <v>46212.669421296298</v>
      </c>
      <c r="B407" t="s">
        <v>31</v>
      </c>
      <c r="C407">
        <v>224.76</v>
      </c>
    </row>
    <row r="408" spans="1:3" x14ac:dyDescent="0.25">
      <c r="A408">
        <v>46212.670069444444</v>
      </c>
      <c r="B408" t="s">
        <v>32</v>
      </c>
      <c r="C408">
        <v>894.49</v>
      </c>
    </row>
    <row r="409" spans="1:3" x14ac:dyDescent="0.25">
      <c r="A409">
        <v>46212.670173611114</v>
      </c>
      <c r="B409" t="s">
        <v>31</v>
      </c>
      <c r="C409">
        <v>222.93</v>
      </c>
    </row>
    <row r="410" spans="1:3" x14ac:dyDescent="0.25">
      <c r="A410">
        <v>46212.670451388891</v>
      </c>
      <c r="B410" t="s">
        <v>32</v>
      </c>
      <c r="C410">
        <v>63.08</v>
      </c>
    </row>
    <row r="411" spans="1:3" x14ac:dyDescent="0.25">
      <c r="A411">
        <v>46212.670995370368</v>
      </c>
      <c r="B411" t="s">
        <v>36</v>
      </c>
      <c r="C411">
        <v>1102.52</v>
      </c>
    </row>
    <row r="412" spans="1:3" x14ac:dyDescent="0.25">
      <c r="A412">
        <v>46212.671678240738</v>
      </c>
      <c r="B412" t="s">
        <v>32</v>
      </c>
      <c r="C412">
        <v>122.99</v>
      </c>
    </row>
    <row r="413" spans="1:3" x14ac:dyDescent="0.25">
      <c r="A413">
        <v>46212.671712962961</v>
      </c>
      <c r="B413" t="s">
        <v>31</v>
      </c>
      <c r="C413">
        <v>219.4</v>
      </c>
    </row>
    <row r="414" spans="1:3" x14ac:dyDescent="0.25">
      <c r="A414">
        <v>46212.673587962963</v>
      </c>
      <c r="B414" t="s">
        <v>36</v>
      </c>
      <c r="C414">
        <v>257.97000000000003</v>
      </c>
    </row>
    <row r="415" spans="1:3" x14ac:dyDescent="0.25">
      <c r="A415">
        <v>46212.675127314818</v>
      </c>
      <c r="B415" t="s">
        <v>32</v>
      </c>
      <c r="C415">
        <v>125.08</v>
      </c>
    </row>
    <row r="416" spans="1:3" x14ac:dyDescent="0.25">
      <c r="A416">
        <v>46212.675636574073</v>
      </c>
      <c r="B416" t="s">
        <v>31</v>
      </c>
      <c r="C416">
        <v>250.03</v>
      </c>
    </row>
    <row r="417" spans="1:3" x14ac:dyDescent="0.25">
      <c r="A417">
        <v>46212.676122685189</v>
      </c>
      <c r="B417" t="s">
        <v>32</v>
      </c>
      <c r="C417">
        <v>76.44</v>
      </c>
    </row>
    <row r="418" spans="1:3" x14ac:dyDescent="0.25">
      <c r="A418">
        <v>46212.676979166667</v>
      </c>
      <c r="B418" t="s">
        <v>31</v>
      </c>
      <c r="C418">
        <v>45.39</v>
      </c>
    </row>
    <row r="419" spans="1:3" x14ac:dyDescent="0.25">
      <c r="A419">
        <v>46212.682430555556</v>
      </c>
      <c r="B419" t="s">
        <v>31</v>
      </c>
      <c r="C419">
        <v>267.66000000000003</v>
      </c>
    </row>
    <row r="420" spans="1:3" x14ac:dyDescent="0.25">
      <c r="A420">
        <v>46212.682812500003</v>
      </c>
      <c r="B420" t="s">
        <v>32</v>
      </c>
      <c r="C420">
        <v>60.61</v>
      </c>
    </row>
    <row r="421" spans="1:3" x14ac:dyDescent="0.25">
      <c r="A421">
        <v>46212.683159722219</v>
      </c>
      <c r="B421" t="s">
        <v>31</v>
      </c>
      <c r="C421">
        <v>93.18</v>
      </c>
    </row>
    <row r="422" spans="1:3" x14ac:dyDescent="0.25">
      <c r="A422">
        <v>46212.683553240742</v>
      </c>
      <c r="B422" t="s">
        <v>32</v>
      </c>
      <c r="C422">
        <v>218.83</v>
      </c>
    </row>
    <row r="423" spans="1:3" x14ac:dyDescent="0.25">
      <c r="A423">
        <v>46212.684710648151</v>
      </c>
      <c r="B423" t="s">
        <v>31</v>
      </c>
      <c r="C423">
        <v>101.01</v>
      </c>
    </row>
    <row r="424" spans="1:3" x14ac:dyDescent="0.25">
      <c r="A424">
        <v>46212.684791666667</v>
      </c>
      <c r="B424" t="s">
        <v>32</v>
      </c>
      <c r="C424">
        <v>114.84</v>
      </c>
    </row>
    <row r="425" spans="1:3" x14ac:dyDescent="0.25">
      <c r="A425">
        <v>46212.687719907408</v>
      </c>
      <c r="B425" t="s">
        <v>32</v>
      </c>
      <c r="C425">
        <v>60.54</v>
      </c>
    </row>
    <row r="426" spans="1:3" x14ac:dyDescent="0.25">
      <c r="A426">
        <v>46212.687754629631</v>
      </c>
      <c r="B426" t="s">
        <v>31</v>
      </c>
      <c r="C426">
        <v>35.08</v>
      </c>
    </row>
    <row r="427" spans="1:3" x14ac:dyDescent="0.25">
      <c r="A427">
        <v>46212.68986111111</v>
      </c>
      <c r="B427" t="s">
        <v>36</v>
      </c>
      <c r="C427">
        <v>32.47</v>
      </c>
    </row>
    <row r="428" spans="1:3" x14ac:dyDescent="0.25">
      <c r="A428">
        <v>46212.692314814813</v>
      </c>
      <c r="B428" t="s">
        <v>31</v>
      </c>
      <c r="C428">
        <v>105.69</v>
      </c>
    </row>
    <row r="429" spans="1:3" x14ac:dyDescent="0.25">
      <c r="A429">
        <v>46212.692824074074</v>
      </c>
      <c r="B429" t="s">
        <v>32</v>
      </c>
      <c r="C429">
        <v>204.45</v>
      </c>
    </row>
    <row r="430" spans="1:3" x14ac:dyDescent="0.25">
      <c r="A430">
        <v>46212.693101851852</v>
      </c>
      <c r="B430" t="s">
        <v>31</v>
      </c>
      <c r="C430">
        <v>295.58</v>
      </c>
    </row>
    <row r="431" spans="1:3" x14ac:dyDescent="0.25">
      <c r="A431">
        <v>46212.693229166667</v>
      </c>
      <c r="B431" t="s">
        <v>31</v>
      </c>
      <c r="C431">
        <v>154.03</v>
      </c>
    </row>
    <row r="432" spans="1:3" x14ac:dyDescent="0.25">
      <c r="A432">
        <v>46212.693310185183</v>
      </c>
      <c r="B432" t="s">
        <v>31</v>
      </c>
      <c r="C432">
        <v>242.99</v>
      </c>
    </row>
    <row r="433" spans="1:3" x14ac:dyDescent="0.25">
      <c r="A433">
        <v>46212.693703703706</v>
      </c>
      <c r="B433" t="s">
        <v>31</v>
      </c>
      <c r="C433">
        <v>58.93</v>
      </c>
    </row>
    <row r="434" spans="1:3" x14ac:dyDescent="0.25">
      <c r="A434">
        <v>46212.695243055554</v>
      </c>
      <c r="B434" t="s">
        <v>36</v>
      </c>
      <c r="C434">
        <v>30.62</v>
      </c>
    </row>
    <row r="435" spans="1:3" x14ac:dyDescent="0.25">
      <c r="A435">
        <v>46212.695717592593</v>
      </c>
      <c r="B435" t="s">
        <v>36</v>
      </c>
      <c r="C435">
        <v>49.43</v>
      </c>
    </row>
    <row r="436" spans="1:3" x14ac:dyDescent="0.25">
      <c r="A436">
        <v>46212.696180555555</v>
      </c>
      <c r="B436" t="s">
        <v>31</v>
      </c>
      <c r="C436">
        <v>31.25</v>
      </c>
    </row>
    <row r="437" spans="1:3" x14ac:dyDescent="0.25">
      <c r="A437">
        <v>46212.696446759262</v>
      </c>
      <c r="B437" t="s">
        <v>32</v>
      </c>
      <c r="C437">
        <v>217.77</v>
      </c>
    </row>
    <row r="438" spans="1:3" x14ac:dyDescent="0.25">
      <c r="A438">
        <v>46212.697060185186</v>
      </c>
      <c r="B438" t="s">
        <v>36</v>
      </c>
      <c r="C438">
        <v>144.19999999999999</v>
      </c>
    </row>
    <row r="439" spans="1:3" x14ac:dyDescent="0.25">
      <c r="A439">
        <v>46212.697337962964</v>
      </c>
      <c r="B439" t="s">
        <v>31</v>
      </c>
      <c r="C439">
        <v>20.54</v>
      </c>
    </row>
    <row r="440" spans="1:3" x14ac:dyDescent="0.25">
      <c r="A440">
        <v>46212.698321759257</v>
      </c>
      <c r="B440" t="s">
        <v>36</v>
      </c>
      <c r="C440">
        <v>31.52</v>
      </c>
    </row>
    <row r="441" spans="1:3" x14ac:dyDescent="0.25">
      <c r="A441">
        <v>46212.700636574074</v>
      </c>
      <c r="B441" t="s">
        <v>32</v>
      </c>
      <c r="C441">
        <v>438.79</v>
      </c>
    </row>
    <row r="442" spans="1:3" x14ac:dyDescent="0.25">
      <c r="A442">
        <v>46212.701180555552</v>
      </c>
      <c r="B442" t="s">
        <v>31</v>
      </c>
      <c r="C442">
        <v>1011.22</v>
      </c>
    </row>
    <row r="443" spans="1:3" x14ac:dyDescent="0.25">
      <c r="A443">
        <v>46212.701226851852</v>
      </c>
      <c r="B443" t="s">
        <v>32</v>
      </c>
      <c r="C443">
        <v>231.75</v>
      </c>
    </row>
    <row r="444" spans="1:3" x14ac:dyDescent="0.25">
      <c r="A444">
        <v>46212.701597222222</v>
      </c>
      <c r="B444" t="s">
        <v>32</v>
      </c>
      <c r="C444">
        <v>177.26</v>
      </c>
    </row>
    <row r="445" spans="1:3" x14ac:dyDescent="0.25">
      <c r="A445">
        <v>46212.703113425923</v>
      </c>
      <c r="B445" t="s">
        <v>32</v>
      </c>
      <c r="C445">
        <v>198.14</v>
      </c>
    </row>
    <row r="446" spans="1:3" x14ac:dyDescent="0.25">
      <c r="A446">
        <v>46212.705023148148</v>
      </c>
      <c r="B446" t="s">
        <v>32</v>
      </c>
      <c r="C446">
        <v>194.85</v>
      </c>
    </row>
    <row r="447" spans="1:3" x14ac:dyDescent="0.25">
      <c r="A447">
        <v>46212.707141203704</v>
      </c>
      <c r="B447" t="s">
        <v>32</v>
      </c>
      <c r="C447">
        <v>175.78</v>
      </c>
    </row>
    <row r="448" spans="1:3" x14ac:dyDescent="0.25">
      <c r="A448">
        <v>46212.708310185182</v>
      </c>
      <c r="B448" t="s">
        <v>36</v>
      </c>
      <c r="C448">
        <v>68.87</v>
      </c>
    </row>
    <row r="449" spans="1:3" x14ac:dyDescent="0.25">
      <c r="A449">
        <v>46212.708437499998</v>
      </c>
      <c r="B449" t="s">
        <v>31</v>
      </c>
      <c r="C449">
        <v>120.85</v>
      </c>
    </row>
    <row r="450" spans="1:3" x14ac:dyDescent="0.25">
      <c r="A450">
        <v>46212.709247685183</v>
      </c>
      <c r="B450" t="s">
        <v>32</v>
      </c>
      <c r="C450">
        <v>158.62</v>
      </c>
    </row>
    <row r="451" spans="1:3" x14ac:dyDescent="0.25">
      <c r="A451">
        <v>46212.710243055553</v>
      </c>
      <c r="B451" t="s">
        <v>31</v>
      </c>
      <c r="C451">
        <v>107.11</v>
      </c>
    </row>
    <row r="452" spans="1:3" x14ac:dyDescent="0.25">
      <c r="A452">
        <v>46212.710694444446</v>
      </c>
      <c r="B452" t="s">
        <v>32</v>
      </c>
      <c r="C452">
        <v>55.98</v>
      </c>
    </row>
    <row r="453" spans="1:3" x14ac:dyDescent="0.25">
      <c r="A453">
        <v>46212.71234953704</v>
      </c>
      <c r="B453" t="s">
        <v>31</v>
      </c>
      <c r="C453">
        <v>16.82</v>
      </c>
    </row>
    <row r="454" spans="1:3" x14ac:dyDescent="0.25">
      <c r="A454">
        <v>46212.713958333334</v>
      </c>
      <c r="B454" t="s">
        <v>32</v>
      </c>
      <c r="C454">
        <v>463.37</v>
      </c>
    </row>
    <row r="455" spans="1:3" x14ac:dyDescent="0.25">
      <c r="A455">
        <v>46212.71398148148</v>
      </c>
      <c r="B455" t="s">
        <v>32</v>
      </c>
      <c r="C455">
        <v>241.87</v>
      </c>
    </row>
    <row r="456" spans="1:3" x14ac:dyDescent="0.25">
      <c r="A456">
        <v>46212.714502314811</v>
      </c>
      <c r="B456" t="s">
        <v>32</v>
      </c>
      <c r="C456">
        <v>24.48</v>
      </c>
    </row>
    <row r="457" spans="1:3" x14ac:dyDescent="0.25">
      <c r="A457">
        <v>46212.715138888889</v>
      </c>
      <c r="B457" t="s">
        <v>32</v>
      </c>
      <c r="C457">
        <v>1178.56</v>
      </c>
    </row>
    <row r="458" spans="1:3" x14ac:dyDescent="0.25">
      <c r="A458">
        <v>46212.715208333335</v>
      </c>
      <c r="B458" t="s">
        <v>32</v>
      </c>
      <c r="C458">
        <v>231.13</v>
      </c>
    </row>
    <row r="459" spans="1:3" x14ac:dyDescent="0.25">
      <c r="A459">
        <v>46212.715358796297</v>
      </c>
      <c r="B459" t="s">
        <v>32</v>
      </c>
      <c r="C459">
        <v>139.87</v>
      </c>
    </row>
    <row r="460" spans="1:3" x14ac:dyDescent="0.25">
      <c r="A460">
        <v>46212.71597222222</v>
      </c>
      <c r="B460" t="s">
        <v>32</v>
      </c>
      <c r="C460">
        <v>282.89</v>
      </c>
    </row>
    <row r="461" spans="1:3" x14ac:dyDescent="0.25">
      <c r="A461">
        <v>46212.716145833336</v>
      </c>
      <c r="B461" t="s">
        <v>32</v>
      </c>
      <c r="C461">
        <v>268.25</v>
      </c>
    </row>
    <row r="462" spans="1:3" x14ac:dyDescent="0.25">
      <c r="A462">
        <v>46212.717453703706</v>
      </c>
      <c r="B462" t="s">
        <v>32</v>
      </c>
      <c r="C462">
        <v>1054.1600000000001</v>
      </c>
    </row>
    <row r="463" spans="1:3" x14ac:dyDescent="0.25">
      <c r="A463">
        <v>46212.717685185184</v>
      </c>
      <c r="B463" t="s">
        <v>32</v>
      </c>
      <c r="C463">
        <v>80.84</v>
      </c>
    </row>
    <row r="464" spans="1:3" x14ac:dyDescent="0.25">
      <c r="A464">
        <v>46212.717777777776</v>
      </c>
      <c r="B464" t="s">
        <v>32</v>
      </c>
      <c r="C464">
        <v>67.760000000000005</v>
      </c>
    </row>
    <row r="465" spans="1:3" x14ac:dyDescent="0.25">
      <c r="A465">
        <v>46212.718819444446</v>
      </c>
      <c r="B465" t="s">
        <v>31</v>
      </c>
      <c r="C465">
        <v>89</v>
      </c>
    </row>
    <row r="466" spans="1:3" x14ac:dyDescent="0.25">
      <c r="A466">
        <v>46212.720856481479</v>
      </c>
      <c r="B466" t="s">
        <v>32</v>
      </c>
      <c r="C466">
        <v>144.68</v>
      </c>
    </row>
    <row r="467" spans="1:3" x14ac:dyDescent="0.25">
      <c r="A467">
        <v>46212.720960648148</v>
      </c>
      <c r="B467" t="s">
        <v>32</v>
      </c>
      <c r="C467">
        <v>639.26</v>
      </c>
    </row>
    <row r="468" spans="1:3" x14ac:dyDescent="0.25">
      <c r="A468">
        <v>46212.721458333333</v>
      </c>
      <c r="B468" t="s">
        <v>32</v>
      </c>
      <c r="C468">
        <v>120.25</v>
      </c>
    </row>
    <row r="469" spans="1:3" x14ac:dyDescent="0.25">
      <c r="A469">
        <v>46212.722418981481</v>
      </c>
      <c r="B469" t="s">
        <v>32</v>
      </c>
      <c r="C469">
        <v>117.58</v>
      </c>
    </row>
    <row r="470" spans="1:3" x14ac:dyDescent="0.25">
      <c r="A470">
        <v>46212.722557870373</v>
      </c>
      <c r="B470" t="s">
        <v>32</v>
      </c>
      <c r="C470">
        <v>116.72</v>
      </c>
    </row>
    <row r="471" spans="1:3" x14ac:dyDescent="0.25">
      <c r="A471">
        <v>46212.723252314812</v>
      </c>
      <c r="B471" t="s">
        <v>32</v>
      </c>
      <c r="C471">
        <v>144.18</v>
      </c>
    </row>
    <row r="472" spans="1:3" x14ac:dyDescent="0.25">
      <c r="A472">
        <v>46212.723715277774</v>
      </c>
      <c r="B472" t="s">
        <v>31</v>
      </c>
      <c r="C472">
        <v>78.08</v>
      </c>
    </row>
    <row r="473" spans="1:3" x14ac:dyDescent="0.25">
      <c r="A473">
        <v>46212.724259259259</v>
      </c>
      <c r="B473" t="s">
        <v>32</v>
      </c>
      <c r="C473">
        <v>94.09</v>
      </c>
    </row>
    <row r="474" spans="1:3" x14ac:dyDescent="0.25">
      <c r="A474">
        <v>46212.724398148152</v>
      </c>
      <c r="B474" t="s">
        <v>32</v>
      </c>
      <c r="C474">
        <v>804.3</v>
      </c>
    </row>
    <row r="475" spans="1:3" x14ac:dyDescent="0.25">
      <c r="A475">
        <v>46212.724560185183</v>
      </c>
      <c r="B475" t="s">
        <v>31</v>
      </c>
      <c r="C475">
        <v>111.12</v>
      </c>
    </row>
    <row r="476" spans="1:3" x14ac:dyDescent="0.25">
      <c r="A476">
        <v>46212.724930555552</v>
      </c>
      <c r="B476" t="s">
        <v>32</v>
      </c>
      <c r="C476">
        <v>81.92</v>
      </c>
    </row>
    <row r="477" spans="1:3" x14ac:dyDescent="0.25">
      <c r="A477">
        <v>46212.725462962961</v>
      </c>
      <c r="B477" t="s">
        <v>36</v>
      </c>
      <c r="C477">
        <v>263.64999999999998</v>
      </c>
    </row>
    <row r="478" spans="1:3" x14ac:dyDescent="0.25">
      <c r="A478">
        <v>46212.725532407407</v>
      </c>
      <c r="B478" t="s">
        <v>36</v>
      </c>
      <c r="C478">
        <v>74.209999999999994</v>
      </c>
    </row>
    <row r="479" spans="1:3" x14ac:dyDescent="0.25">
      <c r="A479">
        <v>46212.72923611111</v>
      </c>
      <c r="B479" t="s">
        <v>31</v>
      </c>
      <c r="C479">
        <v>239.6</v>
      </c>
    </row>
    <row r="480" spans="1:3" x14ac:dyDescent="0.25">
      <c r="A480">
        <v>46212.733229166668</v>
      </c>
      <c r="B480" t="s">
        <v>32</v>
      </c>
      <c r="C480">
        <v>175.12</v>
      </c>
    </row>
    <row r="481" spans="1:3" x14ac:dyDescent="0.25">
      <c r="A481">
        <v>46212.734398148146</v>
      </c>
      <c r="B481" t="s">
        <v>31</v>
      </c>
      <c r="C481">
        <v>186.16</v>
      </c>
    </row>
    <row r="482" spans="1:3" x14ac:dyDescent="0.25">
      <c r="A482">
        <v>46212.734722222223</v>
      </c>
      <c r="B482" t="s">
        <v>31</v>
      </c>
      <c r="C482">
        <v>455.09</v>
      </c>
    </row>
    <row r="483" spans="1:3" x14ac:dyDescent="0.25">
      <c r="A483">
        <v>46212.735613425924</v>
      </c>
      <c r="B483" t="s">
        <v>31</v>
      </c>
      <c r="C483">
        <v>176.73</v>
      </c>
    </row>
    <row r="484" spans="1:3" x14ac:dyDescent="0.25">
      <c r="A484">
        <v>46212.737083333333</v>
      </c>
      <c r="B484" t="s">
        <v>32</v>
      </c>
      <c r="C484">
        <v>14.98</v>
      </c>
    </row>
    <row r="485" spans="1:3" x14ac:dyDescent="0.25">
      <c r="A485">
        <v>46212.737395833334</v>
      </c>
      <c r="B485" t="s">
        <v>31</v>
      </c>
      <c r="C485">
        <v>719.76</v>
      </c>
    </row>
    <row r="486" spans="1:3" x14ac:dyDescent="0.25">
      <c r="A486">
        <v>46212.737928240742</v>
      </c>
      <c r="B486" t="s">
        <v>32</v>
      </c>
      <c r="C486">
        <v>182.06</v>
      </c>
    </row>
    <row r="487" spans="1:3" x14ac:dyDescent="0.25">
      <c r="A487">
        <v>46212.738842592589</v>
      </c>
      <c r="B487" t="s">
        <v>32</v>
      </c>
      <c r="C487">
        <v>219.66</v>
      </c>
    </row>
    <row r="488" spans="1:3" x14ac:dyDescent="0.25">
      <c r="A488">
        <v>46212.739212962966</v>
      </c>
      <c r="B488" t="s">
        <v>31</v>
      </c>
      <c r="C488">
        <v>176.93</v>
      </c>
    </row>
    <row r="489" spans="1:3" x14ac:dyDescent="0.25">
      <c r="A489">
        <v>46212.740543981483</v>
      </c>
      <c r="B489" t="s">
        <v>31</v>
      </c>
      <c r="C489">
        <v>265.88</v>
      </c>
    </row>
    <row r="490" spans="1:3" x14ac:dyDescent="0.25">
      <c r="A490">
        <v>46212.741030092591</v>
      </c>
      <c r="B490" t="s">
        <v>31</v>
      </c>
      <c r="C490">
        <v>359.86</v>
      </c>
    </row>
    <row r="491" spans="1:3" x14ac:dyDescent="0.25">
      <c r="A491">
        <v>46212.741041666668</v>
      </c>
      <c r="B491" t="s">
        <v>32</v>
      </c>
      <c r="C491">
        <v>1498.62</v>
      </c>
    </row>
    <row r="492" spans="1:3" x14ac:dyDescent="0.25">
      <c r="A492">
        <v>46212.741273148145</v>
      </c>
      <c r="B492" t="s">
        <v>31</v>
      </c>
      <c r="C492">
        <v>27.75</v>
      </c>
    </row>
    <row r="493" spans="1:3" x14ac:dyDescent="0.25">
      <c r="A493">
        <v>46212.741597222222</v>
      </c>
      <c r="B493" t="s">
        <v>32</v>
      </c>
      <c r="C493">
        <v>757.01</v>
      </c>
    </row>
    <row r="494" spans="1:3" x14ac:dyDescent="0.25">
      <c r="A494">
        <v>46212.741712962961</v>
      </c>
      <c r="B494" t="s">
        <v>32</v>
      </c>
      <c r="C494">
        <v>256.97000000000003</v>
      </c>
    </row>
    <row r="495" spans="1:3" x14ac:dyDescent="0.25">
      <c r="A495">
        <v>46212.742245370369</v>
      </c>
      <c r="B495" t="s">
        <v>32</v>
      </c>
      <c r="C495">
        <v>215.83</v>
      </c>
    </row>
    <row r="496" spans="1:3" x14ac:dyDescent="0.25">
      <c r="A496">
        <v>46212.742997685185</v>
      </c>
      <c r="B496" t="s">
        <v>32</v>
      </c>
      <c r="C496">
        <v>242.1</v>
      </c>
    </row>
    <row r="497" spans="1:3" x14ac:dyDescent="0.25">
      <c r="A497">
        <v>46212.743344907409</v>
      </c>
      <c r="B497" t="s">
        <v>32</v>
      </c>
      <c r="C497">
        <v>20.81</v>
      </c>
    </row>
    <row r="498" spans="1:3" x14ac:dyDescent="0.25">
      <c r="A498">
        <v>46212.743715277778</v>
      </c>
      <c r="B498" t="s">
        <v>32</v>
      </c>
      <c r="C498">
        <v>174.34</v>
      </c>
    </row>
    <row r="499" spans="1:3" x14ac:dyDescent="0.25">
      <c r="A499">
        <v>46212.74491898148</v>
      </c>
      <c r="B499" t="s">
        <v>31</v>
      </c>
      <c r="C499">
        <v>28.59</v>
      </c>
    </row>
    <row r="500" spans="1:3" x14ac:dyDescent="0.25">
      <c r="A500">
        <v>46212.747291666667</v>
      </c>
      <c r="B500" t="s">
        <v>31</v>
      </c>
      <c r="C500">
        <v>25.84</v>
      </c>
    </row>
    <row r="501" spans="1:3" x14ac:dyDescent="0.25">
      <c r="A501">
        <v>46212.747418981482</v>
      </c>
      <c r="B501" t="s">
        <v>32</v>
      </c>
      <c r="C501">
        <v>824.78</v>
      </c>
    </row>
    <row r="502" spans="1:3" x14ac:dyDescent="0.25">
      <c r="A502">
        <v>46212.74795138889</v>
      </c>
      <c r="B502" t="s">
        <v>32</v>
      </c>
      <c r="C502">
        <v>69.17</v>
      </c>
    </row>
    <row r="503" spans="1:3" x14ac:dyDescent="0.25">
      <c r="A503">
        <v>46212.74795138889</v>
      </c>
      <c r="B503" t="s">
        <v>36</v>
      </c>
      <c r="C503">
        <v>124.11</v>
      </c>
    </row>
    <row r="504" spans="1:3" x14ac:dyDescent="0.25">
      <c r="A504">
        <v>46212.748703703706</v>
      </c>
      <c r="B504" t="s">
        <v>32</v>
      </c>
      <c r="C504">
        <v>123.57</v>
      </c>
    </row>
    <row r="505" spans="1:3" x14ac:dyDescent="0.25">
      <c r="A505">
        <v>46212.749409722222</v>
      </c>
      <c r="B505" t="s">
        <v>32</v>
      </c>
      <c r="C505">
        <v>206.49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1"/>
  <sheetViews>
    <sheetView workbookViewId="0"/>
  </sheetViews>
  <sheetFormatPr defaultRowHeight="15" x14ac:dyDescent="0.25"/>
  <cols>
    <col min="1" max="1" width="9" bestFit="1" customWidth="1"/>
    <col min="2" max="2" width="26.85546875" bestFit="1" customWidth="1"/>
    <col min="3" max="3" width="18.28515625" style="2" bestFit="1" customWidth="1"/>
    <col min="4" max="4" width="16.7109375" customWidth="1"/>
    <col min="5" max="5" width="17.85546875" bestFit="1" customWidth="1"/>
    <col min="6" max="6" width="21.5703125" customWidth="1"/>
    <col min="7" max="7" width="10.140625" bestFit="1" customWidth="1"/>
    <col min="8" max="8" width="15.5703125" customWidth="1"/>
    <col min="9" max="9" width="17" customWidth="1"/>
    <col min="10" max="10" width="14.28515625" customWidth="1"/>
    <col min="11" max="11" width="14" customWidth="1"/>
    <col min="12" max="12" width="25.7109375" bestFit="1" customWidth="1"/>
    <col min="13" max="13" width="20" customWidth="1"/>
    <col min="14" max="14" width="17.7109375" customWidth="1"/>
    <col min="15" max="15" width="22.85546875" customWidth="1"/>
    <col min="16" max="16" width="30.85546875" customWidth="1"/>
    <col min="17" max="17" width="20.42578125" customWidth="1"/>
    <col min="18" max="18" width="18.5703125" bestFit="1" customWidth="1"/>
    <col min="19" max="19" width="34.140625" customWidth="1"/>
  </cols>
  <sheetData>
    <row r="1" spans="1:19" ht="14.25" customHeight="1" x14ac:dyDescent="0.25">
      <c r="A1" t="s">
        <v>17</v>
      </c>
      <c r="B1" t="s">
        <v>14</v>
      </c>
      <c r="C1" t="s">
        <v>4</v>
      </c>
      <c r="D1" t="s">
        <v>13</v>
      </c>
      <c r="E1" t="s">
        <v>12</v>
      </c>
      <c r="F1" t="s">
        <v>9</v>
      </c>
      <c r="G1" t="s">
        <v>11</v>
      </c>
      <c r="H1" t="s">
        <v>8</v>
      </c>
      <c r="I1" t="s">
        <v>10</v>
      </c>
      <c r="J1" t="s">
        <v>16</v>
      </c>
      <c r="K1" t="s">
        <v>7</v>
      </c>
      <c r="L1" t="s">
        <v>3</v>
      </c>
      <c r="M1" t="s">
        <v>2</v>
      </c>
      <c r="N1" t="s">
        <v>6</v>
      </c>
      <c r="O1" t="s">
        <v>15</v>
      </c>
      <c r="P1" t="s">
        <v>1</v>
      </c>
      <c r="Q1" t="s">
        <v>5</v>
      </c>
      <c r="R1" t="s">
        <v>0</v>
      </c>
      <c r="S1" t="s">
        <v>18</v>
      </c>
    </row>
    <row r="2" spans="1:19" x14ac:dyDescent="0.25">
      <c r="A2" s="79">
        <v>12345678</v>
      </c>
      <c r="B2" s="79" t="s">
        <v>67</v>
      </c>
      <c r="C2" s="80" t="s">
        <v>68</v>
      </c>
      <c r="D2" s="79">
        <v>123456</v>
      </c>
      <c r="E2" s="81">
        <v>12334567000189</v>
      </c>
      <c r="F2" s="79" t="s">
        <v>60</v>
      </c>
      <c r="G2" s="79" t="s">
        <v>23</v>
      </c>
      <c r="H2" s="79">
        <v>77.069999999999993</v>
      </c>
      <c r="I2" s="79">
        <v>73.959999999999994</v>
      </c>
      <c r="J2" s="79">
        <v>3.11</v>
      </c>
      <c r="K2" s="79" t="s">
        <v>28</v>
      </c>
      <c r="L2" s="79" t="s">
        <v>19</v>
      </c>
      <c r="M2" s="79" t="s">
        <v>69</v>
      </c>
      <c r="N2" s="79" t="s">
        <v>20</v>
      </c>
      <c r="O2" s="79"/>
      <c r="P2" s="79">
        <v>7371</v>
      </c>
      <c r="Q2" s="79" t="s">
        <v>21</v>
      </c>
      <c r="R2" s="79" t="s">
        <v>61</v>
      </c>
      <c r="S2" s="79">
        <v>123456789</v>
      </c>
    </row>
    <row r="3" spans="1:19" x14ac:dyDescent="0.25">
      <c r="A3" s="79">
        <v>12345678</v>
      </c>
      <c r="B3" s="79" t="s">
        <v>70</v>
      </c>
      <c r="C3" s="80" t="s">
        <v>71</v>
      </c>
      <c r="D3" s="79">
        <v>123456</v>
      </c>
      <c r="E3" s="81">
        <v>12334567000189</v>
      </c>
      <c r="F3" s="79" t="s">
        <v>60</v>
      </c>
      <c r="G3" s="79" t="s">
        <v>23</v>
      </c>
      <c r="H3" s="79">
        <v>57.86</v>
      </c>
      <c r="I3" s="79">
        <v>55.72</v>
      </c>
      <c r="J3" s="79">
        <v>2.14</v>
      </c>
      <c r="K3" s="79" t="s">
        <v>28</v>
      </c>
      <c r="L3" s="79" t="s">
        <v>19</v>
      </c>
      <c r="M3" s="79" t="s">
        <v>27</v>
      </c>
      <c r="N3" s="79" t="s">
        <v>20</v>
      </c>
      <c r="O3" s="79"/>
      <c r="P3" s="79">
        <v>1659</v>
      </c>
      <c r="Q3" s="79" t="s">
        <v>72</v>
      </c>
      <c r="R3" s="79" t="s">
        <v>61</v>
      </c>
      <c r="S3" s="79">
        <v>123456789</v>
      </c>
    </row>
    <row r="4" spans="1:19" x14ac:dyDescent="0.25">
      <c r="A4" s="79">
        <v>12345678</v>
      </c>
      <c r="B4" s="79" t="s">
        <v>73</v>
      </c>
      <c r="C4" s="80" t="s">
        <v>74</v>
      </c>
      <c r="D4" s="79">
        <v>123456</v>
      </c>
      <c r="E4" s="81">
        <v>12334567000189</v>
      </c>
      <c r="F4" s="79" t="s">
        <v>60</v>
      </c>
      <c r="G4" s="79" t="s">
        <v>23</v>
      </c>
      <c r="H4" s="79">
        <v>15.91</v>
      </c>
      <c r="I4" s="79">
        <v>15.68</v>
      </c>
      <c r="J4" s="79">
        <v>0.23</v>
      </c>
      <c r="K4" s="79" t="s">
        <v>25</v>
      </c>
      <c r="L4" s="79" t="s">
        <v>19</v>
      </c>
      <c r="M4" s="79" t="s">
        <v>27</v>
      </c>
      <c r="N4" s="79" t="s">
        <v>20</v>
      </c>
      <c r="O4" s="79"/>
      <c r="P4" s="79">
        <v>2983</v>
      </c>
      <c r="Q4" s="79" t="s">
        <v>21</v>
      </c>
      <c r="R4" s="79" t="s">
        <v>61</v>
      </c>
      <c r="S4" s="79">
        <v>123456789</v>
      </c>
    </row>
    <row r="5" spans="1:19" x14ac:dyDescent="0.25">
      <c r="A5" s="79">
        <v>12345678</v>
      </c>
      <c r="B5" s="79" t="s">
        <v>75</v>
      </c>
      <c r="C5" s="80" t="s">
        <v>76</v>
      </c>
      <c r="D5" s="79">
        <v>123456</v>
      </c>
      <c r="E5" s="81">
        <v>12334567000189</v>
      </c>
      <c r="F5" s="79" t="s">
        <v>60</v>
      </c>
      <c r="G5" s="79" t="s">
        <v>23</v>
      </c>
      <c r="H5" s="79">
        <v>164.5</v>
      </c>
      <c r="I5" s="79">
        <v>161.38</v>
      </c>
      <c r="J5" s="79">
        <v>3.12</v>
      </c>
      <c r="K5" s="79" t="s">
        <v>25</v>
      </c>
      <c r="L5" s="79" t="s">
        <v>19</v>
      </c>
      <c r="M5" s="79" t="s">
        <v>29</v>
      </c>
      <c r="N5" s="79" t="s">
        <v>20</v>
      </c>
      <c r="O5" s="79"/>
      <c r="P5" s="79">
        <v>8613</v>
      </c>
      <c r="Q5" s="79" t="s">
        <v>21</v>
      </c>
      <c r="R5" s="79" t="s">
        <v>61</v>
      </c>
      <c r="S5" s="79">
        <v>123456789</v>
      </c>
    </row>
    <row r="6" spans="1:19" x14ac:dyDescent="0.25">
      <c r="A6" s="79">
        <v>12345678</v>
      </c>
      <c r="B6" s="79" t="s">
        <v>77</v>
      </c>
      <c r="C6" s="80" t="s">
        <v>78</v>
      </c>
      <c r="D6" s="79">
        <v>123456</v>
      </c>
      <c r="E6" s="81">
        <v>12334567000189</v>
      </c>
      <c r="F6" s="79" t="s">
        <v>60</v>
      </c>
      <c r="G6" s="79" t="s">
        <v>23</v>
      </c>
      <c r="H6" s="79">
        <v>153.35</v>
      </c>
      <c r="I6" s="79">
        <v>150.91</v>
      </c>
      <c r="J6" s="79">
        <v>2.44</v>
      </c>
      <c r="K6" s="79" t="s">
        <v>25</v>
      </c>
      <c r="L6" s="79" t="s">
        <v>19</v>
      </c>
      <c r="M6" s="79" t="s">
        <v>24</v>
      </c>
      <c r="N6" s="79" t="s">
        <v>20</v>
      </c>
      <c r="O6" s="79"/>
      <c r="P6" s="79">
        <v>6419</v>
      </c>
      <c r="Q6" s="79" t="s">
        <v>21</v>
      </c>
      <c r="R6" s="79" t="s">
        <v>61</v>
      </c>
      <c r="S6" s="79">
        <v>123456789</v>
      </c>
    </row>
    <row r="7" spans="1:19" x14ac:dyDescent="0.25">
      <c r="A7" s="79">
        <v>12345678</v>
      </c>
      <c r="B7" s="79" t="s">
        <v>79</v>
      </c>
      <c r="C7" s="80" t="s">
        <v>80</v>
      </c>
      <c r="D7" s="79">
        <v>123456</v>
      </c>
      <c r="E7" s="81">
        <v>12334567000189</v>
      </c>
      <c r="F7" s="79" t="s">
        <v>60</v>
      </c>
      <c r="G7" s="79" t="s">
        <v>23</v>
      </c>
      <c r="H7" s="79">
        <v>76.86</v>
      </c>
      <c r="I7" s="79">
        <v>73.72</v>
      </c>
      <c r="J7" s="79">
        <v>3.14</v>
      </c>
      <c r="K7" s="79" t="s">
        <v>28</v>
      </c>
      <c r="L7" s="79" t="s">
        <v>19</v>
      </c>
      <c r="M7" s="79" t="s">
        <v>26</v>
      </c>
      <c r="N7" s="79" t="s">
        <v>20</v>
      </c>
      <c r="O7" s="79"/>
      <c r="P7" s="79">
        <v>8690</v>
      </c>
      <c r="Q7" s="79" t="s">
        <v>21</v>
      </c>
      <c r="R7" s="79" t="s">
        <v>61</v>
      </c>
      <c r="S7" s="79">
        <v>123456789</v>
      </c>
    </row>
    <row r="8" spans="1:19" x14ac:dyDescent="0.25">
      <c r="A8" s="79">
        <v>12345678</v>
      </c>
      <c r="B8" s="79" t="s">
        <v>81</v>
      </c>
      <c r="C8" s="80" t="s">
        <v>82</v>
      </c>
      <c r="D8" s="79">
        <v>123456</v>
      </c>
      <c r="E8" s="81">
        <v>12334567000189</v>
      </c>
      <c r="F8" s="79" t="s">
        <v>60</v>
      </c>
      <c r="G8" s="79" t="s">
        <v>23</v>
      </c>
      <c r="H8" s="79">
        <v>1051.49</v>
      </c>
      <c r="I8" s="79">
        <v>1006.35</v>
      </c>
      <c r="J8" s="79">
        <v>45.14</v>
      </c>
      <c r="K8" s="79" t="s">
        <v>28</v>
      </c>
      <c r="L8" s="79" t="s">
        <v>19</v>
      </c>
      <c r="M8" s="79" t="s">
        <v>29</v>
      </c>
      <c r="N8" s="79" t="s">
        <v>20</v>
      </c>
      <c r="O8" s="79"/>
      <c r="P8" s="79">
        <v>4457</v>
      </c>
      <c r="Q8" s="79" t="s">
        <v>62</v>
      </c>
      <c r="R8" s="79" t="s">
        <v>61</v>
      </c>
      <c r="S8" s="79">
        <v>123456789</v>
      </c>
    </row>
    <row r="9" spans="1:19" x14ac:dyDescent="0.25">
      <c r="A9" s="79">
        <v>12345678</v>
      </c>
      <c r="B9" s="79" t="s">
        <v>83</v>
      </c>
      <c r="C9" s="80" t="s">
        <v>84</v>
      </c>
      <c r="D9" s="79">
        <v>123456</v>
      </c>
      <c r="E9" s="81">
        <v>12334567000189</v>
      </c>
      <c r="F9" s="79" t="s">
        <v>60</v>
      </c>
      <c r="G9" s="79" t="s">
        <v>23</v>
      </c>
      <c r="H9" s="79">
        <v>170.08</v>
      </c>
      <c r="I9" s="79">
        <v>164.58</v>
      </c>
      <c r="J9" s="79">
        <v>5.5</v>
      </c>
      <c r="K9" s="79" t="s">
        <v>28</v>
      </c>
      <c r="L9" s="79" t="s">
        <v>19</v>
      </c>
      <c r="M9" s="79" t="s">
        <v>24</v>
      </c>
      <c r="N9" s="79" t="s">
        <v>20</v>
      </c>
      <c r="O9" s="79"/>
      <c r="P9" s="79">
        <v>5982</v>
      </c>
      <c r="Q9" s="79" t="s">
        <v>21</v>
      </c>
      <c r="R9" s="79" t="s">
        <v>61</v>
      </c>
      <c r="S9" s="79">
        <v>123456789</v>
      </c>
    </row>
    <row r="10" spans="1:19" x14ac:dyDescent="0.25">
      <c r="A10" s="79">
        <v>12345678</v>
      </c>
      <c r="B10" s="79" t="s">
        <v>85</v>
      </c>
      <c r="C10" s="80" t="s">
        <v>86</v>
      </c>
      <c r="D10" s="79">
        <v>123456</v>
      </c>
      <c r="E10" s="81">
        <v>12334567000189</v>
      </c>
      <c r="F10" s="79" t="s">
        <v>60</v>
      </c>
      <c r="G10" s="79" t="s">
        <v>23</v>
      </c>
      <c r="H10" s="79">
        <v>153.19999999999999</v>
      </c>
      <c r="I10" s="79">
        <v>151.1</v>
      </c>
      <c r="J10" s="79">
        <v>2.1</v>
      </c>
      <c r="K10" s="79" t="s">
        <v>25</v>
      </c>
      <c r="L10" s="79" t="s">
        <v>19</v>
      </c>
      <c r="M10" s="79" t="s">
        <v>29</v>
      </c>
      <c r="N10" s="79" t="s">
        <v>20</v>
      </c>
      <c r="O10" s="79"/>
      <c r="P10" s="79">
        <v>2713</v>
      </c>
      <c r="Q10" s="79" t="s">
        <v>21</v>
      </c>
      <c r="R10" s="79" t="s">
        <v>61</v>
      </c>
      <c r="S10" s="79">
        <v>123456789</v>
      </c>
    </row>
    <row r="11" spans="1:19" x14ac:dyDescent="0.25">
      <c r="A11" s="79">
        <v>12345678</v>
      </c>
      <c r="B11" s="79" t="s">
        <v>87</v>
      </c>
      <c r="C11" s="80" t="s">
        <v>88</v>
      </c>
      <c r="D11" s="79">
        <v>123456</v>
      </c>
      <c r="E11" s="81">
        <v>12334567000189</v>
      </c>
      <c r="F11" s="79" t="s">
        <v>60</v>
      </c>
      <c r="G11" s="79" t="s">
        <v>23</v>
      </c>
      <c r="H11" s="79">
        <v>93.58</v>
      </c>
      <c r="I11" s="79">
        <v>91.57</v>
      </c>
      <c r="J11" s="79">
        <v>2.0099999999999998</v>
      </c>
      <c r="K11" s="79" t="s">
        <v>25</v>
      </c>
      <c r="L11" s="79" t="s">
        <v>19</v>
      </c>
      <c r="M11" s="79" t="s">
        <v>89</v>
      </c>
      <c r="N11" s="79" t="s">
        <v>20</v>
      </c>
      <c r="O11" s="79"/>
      <c r="P11" s="79">
        <v>3594</v>
      </c>
      <c r="Q11" s="79" t="s">
        <v>21</v>
      </c>
      <c r="R11" s="79" t="s">
        <v>61</v>
      </c>
      <c r="S11" s="79">
        <v>123456789</v>
      </c>
    </row>
    <row r="12" spans="1:19" x14ac:dyDescent="0.25">
      <c r="A12" s="79">
        <v>12345678</v>
      </c>
      <c r="B12" s="79" t="s">
        <v>90</v>
      </c>
      <c r="C12" s="80" t="s">
        <v>91</v>
      </c>
      <c r="D12" s="79">
        <v>123456</v>
      </c>
      <c r="E12" s="81">
        <v>12334567000189</v>
      </c>
      <c r="F12" s="79" t="s">
        <v>60</v>
      </c>
      <c r="G12" s="79" t="s">
        <v>23</v>
      </c>
      <c r="H12" s="79">
        <v>75.16</v>
      </c>
      <c r="I12" s="79">
        <v>71.959999999999994</v>
      </c>
      <c r="J12" s="79">
        <v>3.2</v>
      </c>
      <c r="K12" s="79" t="s">
        <v>28</v>
      </c>
      <c r="L12" s="79" t="s">
        <v>19</v>
      </c>
      <c r="M12" s="79" t="s">
        <v>29</v>
      </c>
      <c r="N12" s="79" t="s">
        <v>20</v>
      </c>
      <c r="O12" s="79"/>
      <c r="P12" s="79">
        <v>9022</v>
      </c>
      <c r="Q12" s="79" t="s">
        <v>21</v>
      </c>
      <c r="R12" s="79" t="s">
        <v>61</v>
      </c>
      <c r="S12" s="79">
        <v>123456789</v>
      </c>
    </row>
    <row r="13" spans="1:19" x14ac:dyDescent="0.25">
      <c r="A13" s="79">
        <v>12345678</v>
      </c>
      <c r="B13" s="79" t="s">
        <v>92</v>
      </c>
      <c r="C13" s="80" t="s">
        <v>93</v>
      </c>
      <c r="D13" s="79">
        <v>123456</v>
      </c>
      <c r="E13" s="81">
        <v>12334567000189</v>
      </c>
      <c r="F13" s="79" t="s">
        <v>60</v>
      </c>
      <c r="G13" s="79" t="s">
        <v>23</v>
      </c>
      <c r="H13" s="79">
        <v>106.41</v>
      </c>
      <c r="I13" s="79">
        <v>104.3</v>
      </c>
      <c r="J13" s="79">
        <v>2.11</v>
      </c>
      <c r="K13" s="79" t="s">
        <v>25</v>
      </c>
      <c r="L13" s="79" t="s">
        <v>19</v>
      </c>
      <c r="M13" s="79" t="s">
        <v>24</v>
      </c>
      <c r="N13" s="79" t="s">
        <v>20</v>
      </c>
      <c r="O13" s="79"/>
      <c r="P13" s="79">
        <v>3361</v>
      </c>
      <c r="Q13" s="79" t="s">
        <v>21</v>
      </c>
      <c r="R13" s="79" t="s">
        <v>61</v>
      </c>
      <c r="S13" s="79">
        <v>123456789</v>
      </c>
    </row>
    <row r="14" spans="1:19" x14ac:dyDescent="0.25">
      <c r="A14" s="79">
        <v>12345678</v>
      </c>
      <c r="B14" s="79" t="s">
        <v>94</v>
      </c>
      <c r="C14" s="80" t="s">
        <v>95</v>
      </c>
      <c r="D14" s="79">
        <v>123456</v>
      </c>
      <c r="E14" s="81">
        <v>12334567000189</v>
      </c>
      <c r="F14" s="79" t="s">
        <v>60</v>
      </c>
      <c r="G14" s="79" t="s">
        <v>23</v>
      </c>
      <c r="H14" s="79">
        <v>146.15</v>
      </c>
      <c r="I14" s="79">
        <v>139.63999999999999</v>
      </c>
      <c r="J14" s="79">
        <v>6.51</v>
      </c>
      <c r="K14" s="79" t="s">
        <v>28</v>
      </c>
      <c r="L14" s="79" t="s">
        <v>19</v>
      </c>
      <c r="M14" s="79" t="s">
        <v>26</v>
      </c>
      <c r="N14" s="79" t="s">
        <v>20</v>
      </c>
      <c r="O14" s="79"/>
      <c r="P14" s="79">
        <v>1919</v>
      </c>
      <c r="Q14" s="79" t="s">
        <v>21</v>
      </c>
      <c r="R14" s="79" t="s">
        <v>61</v>
      </c>
      <c r="S14" s="79">
        <v>123456789</v>
      </c>
    </row>
    <row r="15" spans="1:19" x14ac:dyDescent="0.25">
      <c r="A15" s="79">
        <v>12345678</v>
      </c>
      <c r="B15" s="79" t="s">
        <v>96</v>
      </c>
      <c r="C15" s="80" t="s">
        <v>97</v>
      </c>
      <c r="D15" s="79">
        <v>123456</v>
      </c>
      <c r="E15" s="81">
        <v>12334567000189</v>
      </c>
      <c r="F15" s="79" t="s">
        <v>60</v>
      </c>
      <c r="G15" s="79" t="s">
        <v>23</v>
      </c>
      <c r="H15" s="79">
        <v>164.04</v>
      </c>
      <c r="I15" s="79">
        <v>157.72999999999999</v>
      </c>
      <c r="J15" s="79">
        <v>6.31</v>
      </c>
      <c r="K15" s="79" t="s">
        <v>28</v>
      </c>
      <c r="L15" s="79" t="s">
        <v>19</v>
      </c>
      <c r="M15" s="79" t="s">
        <v>27</v>
      </c>
      <c r="N15" s="79" t="s">
        <v>20</v>
      </c>
      <c r="O15" s="79"/>
      <c r="P15" s="79">
        <v>4886</v>
      </c>
      <c r="Q15" s="79" t="s">
        <v>21</v>
      </c>
      <c r="R15" s="79" t="s">
        <v>61</v>
      </c>
      <c r="S15" s="79">
        <v>123456789</v>
      </c>
    </row>
    <row r="16" spans="1:19" x14ac:dyDescent="0.25">
      <c r="A16" s="79">
        <v>12345678</v>
      </c>
      <c r="B16" s="79" t="s">
        <v>98</v>
      </c>
      <c r="C16" s="80" t="s">
        <v>99</v>
      </c>
      <c r="D16" s="79">
        <v>123456</v>
      </c>
      <c r="E16" s="81">
        <v>12334567000189</v>
      </c>
      <c r="F16" s="79" t="s">
        <v>60</v>
      </c>
      <c r="G16" s="79" t="s">
        <v>23</v>
      </c>
      <c r="H16" s="79">
        <v>212.79</v>
      </c>
      <c r="I16" s="79">
        <v>206.34</v>
      </c>
      <c r="J16" s="79">
        <v>6.45</v>
      </c>
      <c r="K16" s="79" t="s">
        <v>28</v>
      </c>
      <c r="L16" s="79" t="s">
        <v>19</v>
      </c>
      <c r="M16" s="79" t="s">
        <v>69</v>
      </c>
      <c r="N16" s="79" t="s">
        <v>20</v>
      </c>
      <c r="O16" s="79"/>
      <c r="P16" s="79">
        <v>3153</v>
      </c>
      <c r="Q16" s="79" t="s">
        <v>21</v>
      </c>
      <c r="R16" s="79" t="s">
        <v>61</v>
      </c>
      <c r="S16" s="79">
        <v>123456789</v>
      </c>
    </row>
    <row r="17" spans="1:19" x14ac:dyDescent="0.25">
      <c r="A17" s="79">
        <v>12345678</v>
      </c>
      <c r="B17" s="79" t="s">
        <v>100</v>
      </c>
      <c r="C17" s="80" t="s">
        <v>101</v>
      </c>
      <c r="D17" s="79">
        <v>123456</v>
      </c>
      <c r="E17" s="81">
        <v>12334567000189</v>
      </c>
      <c r="F17" s="79" t="s">
        <v>60</v>
      </c>
      <c r="G17" s="79" t="s">
        <v>23</v>
      </c>
      <c r="H17" s="79">
        <v>60.94</v>
      </c>
      <c r="I17" s="79">
        <v>58.99</v>
      </c>
      <c r="J17" s="79">
        <v>1.95</v>
      </c>
      <c r="K17" s="79" t="s">
        <v>28</v>
      </c>
      <c r="L17" s="79" t="s">
        <v>19</v>
      </c>
      <c r="M17" s="79" t="s">
        <v>89</v>
      </c>
      <c r="N17" s="79" t="s">
        <v>20</v>
      </c>
      <c r="O17" s="79"/>
      <c r="P17" s="79">
        <v>5295</v>
      </c>
      <c r="Q17" s="79" t="s">
        <v>102</v>
      </c>
      <c r="R17" s="79" t="s">
        <v>61</v>
      </c>
      <c r="S17" s="79">
        <v>123456789</v>
      </c>
    </row>
    <row r="18" spans="1:19" x14ac:dyDescent="0.25">
      <c r="A18" s="79">
        <v>12345678</v>
      </c>
      <c r="B18" s="79" t="s">
        <v>103</v>
      </c>
      <c r="C18" s="80" t="s">
        <v>104</v>
      </c>
      <c r="D18" s="79">
        <v>123456</v>
      </c>
      <c r="E18" s="81">
        <v>12334567000189</v>
      </c>
      <c r="F18" s="79" t="s">
        <v>60</v>
      </c>
      <c r="G18" s="79" t="s">
        <v>23</v>
      </c>
      <c r="H18" s="79">
        <v>365.01</v>
      </c>
      <c r="I18" s="79">
        <v>359.5</v>
      </c>
      <c r="J18" s="79">
        <v>5.51</v>
      </c>
      <c r="K18" s="79" t="s">
        <v>25</v>
      </c>
      <c r="L18" s="79" t="s">
        <v>19</v>
      </c>
      <c r="M18" s="79" t="s">
        <v>29</v>
      </c>
      <c r="N18" s="79" t="s">
        <v>20</v>
      </c>
      <c r="O18" s="79"/>
      <c r="P18" s="79">
        <v>2622</v>
      </c>
      <c r="Q18" s="79" t="s">
        <v>21</v>
      </c>
      <c r="R18" s="79" t="s">
        <v>61</v>
      </c>
      <c r="S18" s="79">
        <v>123456789</v>
      </c>
    </row>
    <row r="19" spans="1:19" x14ac:dyDescent="0.25">
      <c r="A19" s="79">
        <v>12345678</v>
      </c>
      <c r="B19" s="79" t="s">
        <v>105</v>
      </c>
      <c r="C19" s="80" t="s">
        <v>106</v>
      </c>
      <c r="D19" s="79">
        <v>123456</v>
      </c>
      <c r="E19" s="81">
        <v>12334567000189</v>
      </c>
      <c r="F19" s="79" t="s">
        <v>60</v>
      </c>
      <c r="G19" s="79" t="s">
        <v>23</v>
      </c>
      <c r="H19" s="79">
        <v>467.84</v>
      </c>
      <c r="I19" s="79">
        <v>458.85</v>
      </c>
      <c r="J19" s="79">
        <v>8.99</v>
      </c>
      <c r="K19" s="79" t="s">
        <v>25</v>
      </c>
      <c r="L19" s="79" t="s">
        <v>19</v>
      </c>
      <c r="M19" s="79" t="s">
        <v>27</v>
      </c>
      <c r="N19" s="79" t="s">
        <v>20</v>
      </c>
      <c r="O19" s="79"/>
      <c r="P19" s="79">
        <v>4538</v>
      </c>
      <c r="Q19" s="79" t="s">
        <v>21</v>
      </c>
      <c r="R19" s="79" t="s">
        <v>61</v>
      </c>
      <c r="S19" s="79">
        <v>123456789</v>
      </c>
    </row>
    <row r="20" spans="1:19" x14ac:dyDescent="0.25">
      <c r="A20" s="79">
        <v>12345678</v>
      </c>
      <c r="B20" s="79" t="s">
        <v>107</v>
      </c>
      <c r="C20" s="80" t="s">
        <v>108</v>
      </c>
      <c r="D20" s="79">
        <v>123456</v>
      </c>
      <c r="E20" s="81">
        <v>12334567000189</v>
      </c>
      <c r="F20" s="79" t="s">
        <v>60</v>
      </c>
      <c r="G20" s="79" t="s">
        <v>23</v>
      </c>
      <c r="H20" s="79">
        <v>238.71</v>
      </c>
      <c r="I20" s="79">
        <v>234.33</v>
      </c>
      <c r="J20" s="79">
        <v>4.38</v>
      </c>
      <c r="K20" s="79" t="s">
        <v>25</v>
      </c>
      <c r="L20" s="79" t="s">
        <v>19</v>
      </c>
      <c r="M20" s="79" t="s">
        <v>26</v>
      </c>
      <c r="N20" s="79" t="s">
        <v>20</v>
      </c>
      <c r="O20" s="79"/>
      <c r="P20" s="79">
        <v>9543</v>
      </c>
      <c r="Q20" s="79" t="s">
        <v>21</v>
      </c>
      <c r="R20" s="79" t="s">
        <v>61</v>
      </c>
      <c r="S20" s="79">
        <v>123456789</v>
      </c>
    </row>
    <row r="21" spans="1:19" x14ac:dyDescent="0.25">
      <c r="A21" s="79">
        <v>12345678</v>
      </c>
      <c r="B21" s="79" t="s">
        <v>109</v>
      </c>
      <c r="C21" s="80" t="s">
        <v>110</v>
      </c>
      <c r="D21" s="79">
        <v>123456</v>
      </c>
      <c r="E21" s="81">
        <v>12334567000189</v>
      </c>
      <c r="F21" s="79" t="s">
        <v>60</v>
      </c>
      <c r="G21" s="79" t="s">
        <v>23</v>
      </c>
      <c r="H21" s="79">
        <v>299.58999999999997</v>
      </c>
      <c r="I21" s="79">
        <v>286.79000000000002</v>
      </c>
      <c r="J21" s="79">
        <v>12.8</v>
      </c>
      <c r="K21" s="79" t="s">
        <v>28</v>
      </c>
      <c r="L21" s="79" t="s">
        <v>19</v>
      </c>
      <c r="M21" s="79" t="s">
        <v>24</v>
      </c>
      <c r="N21" s="79" t="s">
        <v>20</v>
      </c>
      <c r="O21" s="79"/>
      <c r="P21" s="79">
        <v>8430</v>
      </c>
      <c r="Q21" s="79" t="s">
        <v>21</v>
      </c>
      <c r="R21" s="79" t="s">
        <v>61</v>
      </c>
      <c r="S21" s="79">
        <v>123456789</v>
      </c>
    </row>
    <row r="22" spans="1:19" x14ac:dyDescent="0.25">
      <c r="A22" s="79">
        <v>12345678</v>
      </c>
      <c r="B22" s="79" t="s">
        <v>111</v>
      </c>
      <c r="C22" s="80" t="s">
        <v>112</v>
      </c>
      <c r="D22" s="79">
        <v>123456</v>
      </c>
      <c r="E22" s="81">
        <v>12334567000189</v>
      </c>
      <c r="F22" s="79" t="s">
        <v>60</v>
      </c>
      <c r="G22" s="79" t="s">
        <v>23</v>
      </c>
      <c r="H22" s="79">
        <v>100.63</v>
      </c>
      <c r="I22" s="79">
        <v>97.23</v>
      </c>
      <c r="J22" s="79">
        <v>3.4</v>
      </c>
      <c r="K22" s="79" t="s">
        <v>28</v>
      </c>
      <c r="L22" s="79" t="s">
        <v>19</v>
      </c>
      <c r="M22" s="79" t="s">
        <v>27</v>
      </c>
      <c r="N22" s="79" t="s">
        <v>20</v>
      </c>
      <c r="O22" s="79"/>
      <c r="P22" s="79">
        <v>6736</v>
      </c>
      <c r="Q22" s="79" t="s">
        <v>21</v>
      </c>
      <c r="R22" s="79" t="s">
        <v>61</v>
      </c>
      <c r="S22" s="79">
        <v>123456789</v>
      </c>
    </row>
    <row r="23" spans="1:19" x14ac:dyDescent="0.25">
      <c r="A23" s="79">
        <v>12345678</v>
      </c>
      <c r="B23" s="79" t="s">
        <v>113</v>
      </c>
      <c r="C23" s="80" t="s">
        <v>114</v>
      </c>
      <c r="D23" s="79">
        <v>123456</v>
      </c>
      <c r="E23" s="81">
        <v>12334567000189</v>
      </c>
      <c r="F23" s="79" t="s">
        <v>60</v>
      </c>
      <c r="G23" s="79" t="s">
        <v>23</v>
      </c>
      <c r="H23" s="79">
        <v>176.49</v>
      </c>
      <c r="I23" s="79">
        <v>172.91</v>
      </c>
      <c r="J23" s="79">
        <v>3.58</v>
      </c>
      <c r="K23" s="79" t="s">
        <v>25</v>
      </c>
      <c r="L23" s="79" t="s">
        <v>19</v>
      </c>
      <c r="M23" s="79" t="s">
        <v>89</v>
      </c>
      <c r="N23" s="79" t="s">
        <v>20</v>
      </c>
      <c r="O23" s="79"/>
      <c r="P23" s="79">
        <v>6314</v>
      </c>
      <c r="Q23" s="79" t="s">
        <v>21</v>
      </c>
      <c r="R23" s="79" t="s">
        <v>61</v>
      </c>
      <c r="S23" s="79">
        <v>123456789</v>
      </c>
    </row>
    <row r="24" spans="1:19" x14ac:dyDescent="0.25">
      <c r="A24" s="79">
        <v>12345678</v>
      </c>
      <c r="B24" s="79" t="s">
        <v>115</v>
      </c>
      <c r="C24" s="80" t="s">
        <v>116</v>
      </c>
      <c r="D24" s="79">
        <v>123456</v>
      </c>
      <c r="E24" s="81">
        <v>12334567000189</v>
      </c>
      <c r="F24" s="79" t="s">
        <v>60</v>
      </c>
      <c r="G24" s="79" t="s">
        <v>23</v>
      </c>
      <c r="H24" s="79">
        <v>25.26</v>
      </c>
      <c r="I24" s="79">
        <v>24.9</v>
      </c>
      <c r="J24" s="79">
        <v>0.36</v>
      </c>
      <c r="K24" s="79" t="s">
        <v>25</v>
      </c>
      <c r="L24" s="79" t="s">
        <v>19</v>
      </c>
      <c r="M24" s="79" t="s">
        <v>89</v>
      </c>
      <c r="N24" s="79" t="s">
        <v>20</v>
      </c>
      <c r="O24" s="79"/>
      <c r="P24" s="79">
        <v>8055</v>
      </c>
      <c r="Q24" s="79" t="s">
        <v>21</v>
      </c>
      <c r="R24" s="79" t="s">
        <v>61</v>
      </c>
      <c r="S24" s="79">
        <v>123456789</v>
      </c>
    </row>
    <row r="25" spans="1:19" x14ac:dyDescent="0.25">
      <c r="A25" s="79">
        <v>12345678</v>
      </c>
      <c r="B25" s="79" t="s">
        <v>117</v>
      </c>
      <c r="C25" s="80" t="s">
        <v>118</v>
      </c>
      <c r="D25" s="79">
        <v>123456</v>
      </c>
      <c r="E25" s="81">
        <v>12334567000189</v>
      </c>
      <c r="F25" s="79" t="s">
        <v>60</v>
      </c>
      <c r="G25" s="79" t="s">
        <v>23</v>
      </c>
      <c r="H25" s="79">
        <v>155.08000000000001</v>
      </c>
      <c r="I25" s="79">
        <v>148.49</v>
      </c>
      <c r="J25" s="79">
        <v>6.59</v>
      </c>
      <c r="K25" s="79" t="s">
        <v>28</v>
      </c>
      <c r="L25" s="79" t="s">
        <v>19</v>
      </c>
      <c r="M25" s="79" t="s">
        <v>26</v>
      </c>
      <c r="N25" s="79" t="s">
        <v>20</v>
      </c>
      <c r="O25" s="79"/>
      <c r="P25" s="79">
        <v>6456</v>
      </c>
      <c r="Q25" s="79" t="s">
        <v>21</v>
      </c>
      <c r="R25" s="79" t="s">
        <v>61</v>
      </c>
      <c r="S25" s="79">
        <v>123456789</v>
      </c>
    </row>
    <row r="26" spans="1:19" x14ac:dyDescent="0.25">
      <c r="A26" s="79">
        <v>12345678</v>
      </c>
      <c r="B26" s="79" t="s">
        <v>119</v>
      </c>
      <c r="C26" s="80" t="s">
        <v>120</v>
      </c>
      <c r="D26" s="79">
        <v>123456</v>
      </c>
      <c r="E26" s="81">
        <v>12334567000189</v>
      </c>
      <c r="F26" s="79" t="s">
        <v>60</v>
      </c>
      <c r="G26" s="79" t="s">
        <v>23</v>
      </c>
      <c r="H26" s="79">
        <v>163.88</v>
      </c>
      <c r="I26" s="79">
        <v>161.46</v>
      </c>
      <c r="J26" s="79">
        <v>2.42</v>
      </c>
      <c r="K26" s="79" t="s">
        <v>25</v>
      </c>
      <c r="L26" s="79" t="s">
        <v>19</v>
      </c>
      <c r="M26" s="79" t="s">
        <v>26</v>
      </c>
      <c r="N26" s="79" t="s">
        <v>20</v>
      </c>
      <c r="O26" s="79"/>
      <c r="P26" s="79">
        <v>5961</v>
      </c>
      <c r="Q26" s="79" t="s">
        <v>21</v>
      </c>
      <c r="R26" s="79" t="s">
        <v>61</v>
      </c>
      <c r="S26" s="79">
        <v>123456789</v>
      </c>
    </row>
    <row r="27" spans="1:19" x14ac:dyDescent="0.25">
      <c r="A27" s="79">
        <v>12345678</v>
      </c>
      <c r="B27" s="79" t="s">
        <v>121</v>
      </c>
      <c r="C27" s="80" t="s">
        <v>122</v>
      </c>
      <c r="D27" s="79">
        <v>123456</v>
      </c>
      <c r="E27" s="81">
        <v>12334567000189</v>
      </c>
      <c r="F27" s="79" t="s">
        <v>60</v>
      </c>
      <c r="G27" s="79" t="s">
        <v>23</v>
      </c>
      <c r="H27" s="79">
        <v>31.52</v>
      </c>
      <c r="I27" s="79">
        <v>30.98</v>
      </c>
      <c r="J27" s="79">
        <v>0.54</v>
      </c>
      <c r="K27" s="79" t="s">
        <v>25</v>
      </c>
      <c r="L27" s="79" t="s">
        <v>19</v>
      </c>
      <c r="M27" s="79" t="s">
        <v>29</v>
      </c>
      <c r="N27" s="79" t="s">
        <v>20</v>
      </c>
      <c r="O27" s="79"/>
      <c r="P27" s="79">
        <v>5059</v>
      </c>
      <c r="Q27" s="79" t="s">
        <v>21</v>
      </c>
      <c r="R27" s="79" t="s">
        <v>61</v>
      </c>
      <c r="S27" s="79">
        <v>123456789</v>
      </c>
    </row>
    <row r="28" spans="1:19" x14ac:dyDescent="0.25">
      <c r="A28" s="79">
        <v>12345678</v>
      </c>
      <c r="B28" s="79" t="s">
        <v>123</v>
      </c>
      <c r="C28" s="80" t="s">
        <v>124</v>
      </c>
      <c r="D28" s="79">
        <v>123456</v>
      </c>
      <c r="E28" s="81">
        <v>12334567000189</v>
      </c>
      <c r="F28" s="79" t="s">
        <v>60</v>
      </c>
      <c r="G28" s="79" t="s">
        <v>125</v>
      </c>
      <c r="H28" s="79">
        <v>186.84</v>
      </c>
      <c r="I28" s="79">
        <v>183.8</v>
      </c>
      <c r="J28" s="79">
        <v>3.04</v>
      </c>
      <c r="K28" s="79" t="s">
        <v>25</v>
      </c>
      <c r="L28" s="79" t="s">
        <v>19</v>
      </c>
      <c r="M28" s="79" t="s">
        <v>26</v>
      </c>
      <c r="N28" s="79" t="s">
        <v>20</v>
      </c>
      <c r="O28" s="79"/>
      <c r="P28" s="79">
        <v>6381</v>
      </c>
      <c r="Q28" s="79" t="s">
        <v>21</v>
      </c>
      <c r="R28" s="79" t="s">
        <v>61</v>
      </c>
      <c r="S28" s="79">
        <v>123456789</v>
      </c>
    </row>
    <row r="29" spans="1:19" x14ac:dyDescent="0.25">
      <c r="A29" s="79">
        <v>12345678</v>
      </c>
      <c r="B29" s="79" t="s">
        <v>126</v>
      </c>
      <c r="C29" s="80" t="s">
        <v>127</v>
      </c>
      <c r="D29" s="79">
        <v>123456</v>
      </c>
      <c r="E29" s="81">
        <v>12334567000189</v>
      </c>
      <c r="F29" s="79" t="s">
        <v>60</v>
      </c>
      <c r="G29" s="79" t="s">
        <v>23</v>
      </c>
      <c r="H29" s="79">
        <v>743.26</v>
      </c>
      <c r="I29" s="79">
        <v>729.01</v>
      </c>
      <c r="J29" s="79">
        <v>14.25</v>
      </c>
      <c r="K29" s="79" t="s">
        <v>25</v>
      </c>
      <c r="L29" s="79" t="s">
        <v>19</v>
      </c>
      <c r="M29" s="79" t="s">
        <v>89</v>
      </c>
      <c r="N29" s="79" t="s">
        <v>20</v>
      </c>
      <c r="O29" s="79"/>
      <c r="P29" s="79">
        <v>3712</v>
      </c>
      <c r="Q29" s="79" t="s">
        <v>21</v>
      </c>
      <c r="R29" s="79" t="s">
        <v>61</v>
      </c>
      <c r="S29" s="79">
        <v>123456789</v>
      </c>
    </row>
    <row r="30" spans="1:19" x14ac:dyDescent="0.25">
      <c r="A30" s="79">
        <v>12345678</v>
      </c>
      <c r="B30" s="79" t="s">
        <v>128</v>
      </c>
      <c r="C30" s="80" t="s">
        <v>129</v>
      </c>
      <c r="D30" s="79">
        <v>123456</v>
      </c>
      <c r="E30" s="81">
        <v>12334567000189</v>
      </c>
      <c r="F30" s="79" t="s">
        <v>60</v>
      </c>
      <c r="G30" s="79" t="s">
        <v>23</v>
      </c>
      <c r="H30" s="79">
        <v>218.68</v>
      </c>
      <c r="I30" s="79">
        <v>213.93</v>
      </c>
      <c r="J30" s="79">
        <v>4.75</v>
      </c>
      <c r="K30" s="79" t="s">
        <v>25</v>
      </c>
      <c r="L30" s="79" t="s">
        <v>19</v>
      </c>
      <c r="M30" s="79" t="s">
        <v>89</v>
      </c>
      <c r="N30" s="79" t="s">
        <v>20</v>
      </c>
      <c r="O30" s="79"/>
      <c r="P30" s="79">
        <v>9452</v>
      </c>
      <c r="Q30" s="79" t="s">
        <v>21</v>
      </c>
      <c r="R30" s="79" t="s">
        <v>61</v>
      </c>
      <c r="S30" s="79">
        <v>123456789</v>
      </c>
    </row>
    <row r="31" spans="1:19" x14ac:dyDescent="0.25">
      <c r="A31" s="79">
        <v>12345678</v>
      </c>
      <c r="B31" s="79" t="s">
        <v>130</v>
      </c>
      <c r="C31" s="80" t="s">
        <v>131</v>
      </c>
      <c r="D31" s="79">
        <v>123456</v>
      </c>
      <c r="E31" s="81">
        <v>12334567000189</v>
      </c>
      <c r="F31" s="79" t="s">
        <v>60</v>
      </c>
      <c r="G31" s="79" t="s">
        <v>23</v>
      </c>
      <c r="H31" s="79">
        <v>89.11</v>
      </c>
      <c r="I31" s="79">
        <v>87.23</v>
      </c>
      <c r="J31" s="79">
        <v>1.88</v>
      </c>
      <c r="K31" s="79" t="s">
        <v>25</v>
      </c>
      <c r="L31" s="79" t="s">
        <v>19</v>
      </c>
      <c r="M31" s="79" t="s">
        <v>27</v>
      </c>
      <c r="N31" s="79" t="s">
        <v>20</v>
      </c>
      <c r="O31" s="79"/>
      <c r="P31" s="79">
        <v>2298</v>
      </c>
      <c r="Q31" s="79" t="s">
        <v>21</v>
      </c>
      <c r="R31" s="79" t="s">
        <v>61</v>
      </c>
      <c r="S31" s="79">
        <v>123456789</v>
      </c>
    </row>
    <row r="32" spans="1:19" x14ac:dyDescent="0.25">
      <c r="A32" s="79">
        <v>12345678</v>
      </c>
      <c r="B32" s="79" t="s">
        <v>132</v>
      </c>
      <c r="C32" s="80" t="s">
        <v>133</v>
      </c>
      <c r="D32" s="79">
        <v>123456</v>
      </c>
      <c r="E32" s="81">
        <v>12334567000189</v>
      </c>
      <c r="F32" s="79" t="s">
        <v>60</v>
      </c>
      <c r="G32" s="79" t="s">
        <v>23</v>
      </c>
      <c r="H32" s="79">
        <v>282.67</v>
      </c>
      <c r="I32" s="79">
        <v>271.61</v>
      </c>
      <c r="J32" s="79">
        <v>11.06</v>
      </c>
      <c r="K32" s="79" t="s">
        <v>28</v>
      </c>
      <c r="L32" s="79" t="s">
        <v>19</v>
      </c>
      <c r="M32" s="79" t="s">
        <v>24</v>
      </c>
      <c r="N32" s="79" t="s">
        <v>20</v>
      </c>
      <c r="O32" s="79"/>
      <c r="P32" s="79">
        <v>1333</v>
      </c>
      <c r="Q32" s="79" t="s">
        <v>21</v>
      </c>
      <c r="R32" s="79" t="s">
        <v>61</v>
      </c>
      <c r="S32" s="79">
        <v>123456789</v>
      </c>
    </row>
    <row r="33" spans="1:19" x14ac:dyDescent="0.25">
      <c r="A33" s="79">
        <v>12345678</v>
      </c>
      <c r="B33" s="79" t="s">
        <v>134</v>
      </c>
      <c r="C33" s="80" t="s">
        <v>135</v>
      </c>
      <c r="D33" s="79">
        <v>123456</v>
      </c>
      <c r="E33" s="81">
        <v>12334567000189</v>
      </c>
      <c r="F33" s="79" t="s">
        <v>60</v>
      </c>
      <c r="G33" s="79" t="s">
        <v>23</v>
      </c>
      <c r="H33" s="79">
        <v>294.5</v>
      </c>
      <c r="I33" s="79">
        <v>284.54000000000002</v>
      </c>
      <c r="J33" s="79">
        <v>9.9600000000000009</v>
      </c>
      <c r="K33" s="79" t="s">
        <v>28</v>
      </c>
      <c r="L33" s="79" t="s">
        <v>19</v>
      </c>
      <c r="M33" s="79" t="s">
        <v>29</v>
      </c>
      <c r="N33" s="79" t="s">
        <v>20</v>
      </c>
      <c r="O33" s="79"/>
      <c r="P33" s="79">
        <v>7524</v>
      </c>
      <c r="Q33" s="79" t="s">
        <v>21</v>
      </c>
      <c r="R33" s="79" t="s">
        <v>61</v>
      </c>
      <c r="S33" s="79">
        <v>123456789</v>
      </c>
    </row>
    <row r="34" spans="1:19" x14ac:dyDescent="0.25">
      <c r="A34" s="79">
        <v>12345678</v>
      </c>
      <c r="B34" s="79" t="s">
        <v>136</v>
      </c>
      <c r="C34" s="80" t="s">
        <v>137</v>
      </c>
      <c r="D34" s="79">
        <v>123456</v>
      </c>
      <c r="E34" s="81">
        <v>12334567000189</v>
      </c>
      <c r="F34" s="79" t="s">
        <v>60</v>
      </c>
      <c r="G34" s="79" t="s">
        <v>23</v>
      </c>
      <c r="H34" s="79">
        <v>228.45</v>
      </c>
      <c r="I34" s="79">
        <v>226.45</v>
      </c>
      <c r="J34" s="79">
        <v>2</v>
      </c>
      <c r="K34" s="79" t="s">
        <v>22</v>
      </c>
      <c r="L34" s="79" t="s">
        <v>19</v>
      </c>
      <c r="M34" s="79" t="s">
        <v>19</v>
      </c>
      <c r="N34" s="79" t="s">
        <v>20</v>
      </c>
      <c r="O34" s="79"/>
      <c r="P34" s="79">
        <v>6021</v>
      </c>
      <c r="Q34" s="79" t="s">
        <v>21</v>
      </c>
      <c r="R34" s="79" t="s">
        <v>61</v>
      </c>
      <c r="S34" s="79">
        <v>123456789</v>
      </c>
    </row>
    <row r="35" spans="1:19" x14ac:dyDescent="0.25">
      <c r="A35" s="79">
        <v>12345678</v>
      </c>
      <c r="B35" s="79" t="s">
        <v>138</v>
      </c>
      <c r="C35" s="80" t="s">
        <v>139</v>
      </c>
      <c r="D35" s="79">
        <v>123456</v>
      </c>
      <c r="E35" s="81">
        <v>12334567000189</v>
      </c>
      <c r="F35" s="79" t="s">
        <v>60</v>
      </c>
      <c r="G35" s="79" t="s">
        <v>23</v>
      </c>
      <c r="H35" s="79">
        <v>138.72999999999999</v>
      </c>
      <c r="I35" s="79">
        <v>133.63999999999999</v>
      </c>
      <c r="J35" s="79">
        <v>5.09</v>
      </c>
      <c r="K35" s="79" t="s">
        <v>28</v>
      </c>
      <c r="L35" s="79" t="s">
        <v>19</v>
      </c>
      <c r="M35" s="79" t="s">
        <v>69</v>
      </c>
      <c r="N35" s="79" t="s">
        <v>20</v>
      </c>
      <c r="O35" s="79"/>
      <c r="P35" s="79">
        <v>2259</v>
      </c>
      <c r="Q35" s="79" t="s">
        <v>102</v>
      </c>
      <c r="R35" s="79" t="s">
        <v>61</v>
      </c>
      <c r="S35" s="79">
        <v>123456789</v>
      </c>
    </row>
    <row r="36" spans="1:19" x14ac:dyDescent="0.25">
      <c r="A36" s="79">
        <v>12345678</v>
      </c>
      <c r="B36" s="79" t="s">
        <v>140</v>
      </c>
      <c r="C36" s="80" t="s">
        <v>141</v>
      </c>
      <c r="D36" s="79">
        <v>123456</v>
      </c>
      <c r="E36" s="81">
        <v>12334567000189</v>
      </c>
      <c r="F36" s="79" t="s">
        <v>60</v>
      </c>
      <c r="G36" s="79" t="s">
        <v>23</v>
      </c>
      <c r="H36" s="79">
        <v>198.37</v>
      </c>
      <c r="I36" s="79">
        <v>195.35</v>
      </c>
      <c r="J36" s="79">
        <v>3.02</v>
      </c>
      <c r="K36" s="79" t="s">
        <v>25</v>
      </c>
      <c r="L36" s="79" t="s">
        <v>19</v>
      </c>
      <c r="M36" s="79" t="s">
        <v>29</v>
      </c>
      <c r="N36" s="79" t="s">
        <v>20</v>
      </c>
      <c r="O36" s="79"/>
      <c r="P36" s="79">
        <v>5914</v>
      </c>
      <c r="Q36" s="79" t="s">
        <v>21</v>
      </c>
      <c r="R36" s="79" t="s">
        <v>61</v>
      </c>
      <c r="S36" s="79">
        <v>123456789</v>
      </c>
    </row>
    <row r="37" spans="1:19" x14ac:dyDescent="0.25">
      <c r="A37" s="79">
        <v>12345678</v>
      </c>
      <c r="B37" s="79" t="s">
        <v>142</v>
      </c>
      <c r="C37" s="80" t="s">
        <v>143</v>
      </c>
      <c r="D37" s="79">
        <v>123456</v>
      </c>
      <c r="E37" s="81">
        <v>12334567000189</v>
      </c>
      <c r="F37" s="79" t="s">
        <v>60</v>
      </c>
      <c r="G37" s="79" t="s">
        <v>23</v>
      </c>
      <c r="H37" s="79">
        <v>682.62</v>
      </c>
      <c r="I37" s="79">
        <v>668.87</v>
      </c>
      <c r="J37" s="79">
        <v>13.75</v>
      </c>
      <c r="K37" s="79" t="s">
        <v>25</v>
      </c>
      <c r="L37" s="79" t="s">
        <v>19</v>
      </c>
      <c r="M37" s="79" t="s">
        <v>89</v>
      </c>
      <c r="N37" s="79" t="s">
        <v>20</v>
      </c>
      <c r="O37" s="79"/>
      <c r="P37" s="79">
        <v>3981</v>
      </c>
      <c r="Q37" s="79" t="s">
        <v>21</v>
      </c>
      <c r="R37" s="79" t="s">
        <v>61</v>
      </c>
      <c r="S37" s="79">
        <v>123456789</v>
      </c>
    </row>
    <row r="38" spans="1:19" x14ac:dyDescent="0.25">
      <c r="A38" s="79">
        <v>12345678</v>
      </c>
      <c r="B38" s="79" t="s">
        <v>144</v>
      </c>
      <c r="C38" s="80" t="s">
        <v>145</v>
      </c>
      <c r="D38" s="79">
        <v>123456</v>
      </c>
      <c r="E38" s="81">
        <v>12334567000189</v>
      </c>
      <c r="F38" s="79" t="s">
        <v>60</v>
      </c>
      <c r="G38" s="79" t="s">
        <v>23</v>
      </c>
      <c r="H38" s="79">
        <v>261.77999999999997</v>
      </c>
      <c r="I38" s="79">
        <v>256.42</v>
      </c>
      <c r="J38" s="79">
        <v>5.36</v>
      </c>
      <c r="K38" s="79" t="s">
        <v>25</v>
      </c>
      <c r="L38" s="79" t="s">
        <v>19</v>
      </c>
      <c r="M38" s="79" t="s">
        <v>89</v>
      </c>
      <c r="N38" s="79" t="s">
        <v>20</v>
      </c>
      <c r="O38" s="79"/>
      <c r="P38" s="79">
        <v>1464</v>
      </c>
      <c r="Q38" s="79" t="s">
        <v>21</v>
      </c>
      <c r="R38" s="79" t="s">
        <v>61</v>
      </c>
      <c r="S38" s="79">
        <v>123456789</v>
      </c>
    </row>
    <row r="39" spans="1:19" x14ac:dyDescent="0.25">
      <c r="A39" s="79">
        <v>12345678</v>
      </c>
      <c r="B39" s="79" t="s">
        <v>146</v>
      </c>
      <c r="C39" s="80" t="s">
        <v>147</v>
      </c>
      <c r="D39" s="79">
        <v>123456</v>
      </c>
      <c r="E39" s="81">
        <v>12334567000189</v>
      </c>
      <c r="F39" s="79" t="s">
        <v>60</v>
      </c>
      <c r="G39" s="79" t="s">
        <v>23</v>
      </c>
      <c r="H39" s="79">
        <v>86.75</v>
      </c>
      <c r="I39" s="79">
        <v>83.87</v>
      </c>
      <c r="J39" s="79">
        <v>2.88</v>
      </c>
      <c r="K39" s="79" t="s">
        <v>28</v>
      </c>
      <c r="L39" s="79" t="s">
        <v>19</v>
      </c>
      <c r="M39" s="79" t="s">
        <v>89</v>
      </c>
      <c r="N39" s="79" t="s">
        <v>20</v>
      </c>
      <c r="O39" s="79"/>
      <c r="P39" s="79">
        <v>8642</v>
      </c>
      <c r="Q39" s="79" t="s">
        <v>21</v>
      </c>
      <c r="R39" s="79" t="s">
        <v>61</v>
      </c>
      <c r="S39" s="79">
        <v>123456789</v>
      </c>
    </row>
    <row r="40" spans="1:19" x14ac:dyDescent="0.25">
      <c r="A40" s="79">
        <v>12345678</v>
      </c>
      <c r="B40" s="79" t="s">
        <v>148</v>
      </c>
      <c r="C40" s="80" t="s">
        <v>149</v>
      </c>
      <c r="D40" s="79">
        <v>123456</v>
      </c>
      <c r="E40" s="81">
        <v>12334567000189</v>
      </c>
      <c r="F40" s="79" t="s">
        <v>60</v>
      </c>
      <c r="G40" s="79" t="s">
        <v>23</v>
      </c>
      <c r="H40" s="79">
        <v>24.68</v>
      </c>
      <c r="I40" s="79">
        <v>23.59</v>
      </c>
      <c r="J40" s="79">
        <v>1.0900000000000001</v>
      </c>
      <c r="K40" s="79" t="s">
        <v>28</v>
      </c>
      <c r="L40" s="79" t="s">
        <v>19</v>
      </c>
      <c r="M40" s="79" t="s">
        <v>89</v>
      </c>
      <c r="N40" s="79" t="s">
        <v>20</v>
      </c>
      <c r="O40" s="79"/>
      <c r="P40" s="79">
        <v>3194</v>
      </c>
      <c r="Q40" s="79" t="s">
        <v>21</v>
      </c>
      <c r="R40" s="79" t="s">
        <v>61</v>
      </c>
      <c r="S40" s="79">
        <v>123456789</v>
      </c>
    </row>
    <row r="41" spans="1:19" x14ac:dyDescent="0.25">
      <c r="A41" s="79">
        <v>12345678</v>
      </c>
      <c r="B41" s="79" t="s">
        <v>150</v>
      </c>
      <c r="C41" s="80" t="s">
        <v>151</v>
      </c>
      <c r="D41" s="79">
        <v>123456</v>
      </c>
      <c r="E41" s="81">
        <v>12334567000189</v>
      </c>
      <c r="F41" s="79" t="s">
        <v>60</v>
      </c>
      <c r="G41" s="79" t="s">
        <v>23</v>
      </c>
      <c r="H41" s="79">
        <v>116.12</v>
      </c>
      <c r="I41" s="79">
        <v>114.19</v>
      </c>
      <c r="J41" s="79">
        <v>1.93</v>
      </c>
      <c r="K41" s="79" t="s">
        <v>25</v>
      </c>
      <c r="L41" s="79" t="s">
        <v>19</v>
      </c>
      <c r="M41" s="79" t="s">
        <v>89</v>
      </c>
      <c r="N41" s="79" t="s">
        <v>20</v>
      </c>
      <c r="O41" s="79"/>
      <c r="P41" s="79">
        <v>9446</v>
      </c>
      <c r="Q41" s="79" t="s">
        <v>21</v>
      </c>
      <c r="R41" s="79" t="s">
        <v>61</v>
      </c>
      <c r="S41" s="79">
        <v>123456789</v>
      </c>
    </row>
    <row r="42" spans="1:19" x14ac:dyDescent="0.25">
      <c r="A42" s="79">
        <v>12345678</v>
      </c>
      <c r="B42" s="79" t="s">
        <v>152</v>
      </c>
      <c r="C42" s="80" t="s">
        <v>153</v>
      </c>
      <c r="D42" s="79">
        <v>123456</v>
      </c>
      <c r="E42" s="81">
        <v>12334567000189</v>
      </c>
      <c r="F42" s="79" t="s">
        <v>60</v>
      </c>
      <c r="G42" s="79" t="s">
        <v>23</v>
      </c>
      <c r="H42" s="79">
        <v>123.96</v>
      </c>
      <c r="I42" s="79">
        <v>119.09</v>
      </c>
      <c r="J42" s="79">
        <v>4.87</v>
      </c>
      <c r="K42" s="79" t="s">
        <v>28</v>
      </c>
      <c r="L42" s="79" t="s">
        <v>19</v>
      </c>
      <c r="M42" s="79" t="s">
        <v>26</v>
      </c>
      <c r="N42" s="79" t="s">
        <v>20</v>
      </c>
      <c r="O42" s="79"/>
      <c r="P42" s="79">
        <v>7229</v>
      </c>
      <c r="Q42" s="79" t="s">
        <v>21</v>
      </c>
      <c r="R42" s="79" t="s">
        <v>61</v>
      </c>
      <c r="S42" s="79">
        <v>123456789</v>
      </c>
    </row>
    <row r="43" spans="1:19" x14ac:dyDescent="0.25">
      <c r="A43" s="79">
        <v>12345678</v>
      </c>
      <c r="B43" s="79" t="s">
        <v>154</v>
      </c>
      <c r="C43" s="80" t="s">
        <v>155</v>
      </c>
      <c r="D43" s="79">
        <v>123456</v>
      </c>
      <c r="E43" s="81">
        <v>12334567000189</v>
      </c>
      <c r="F43" s="79" t="s">
        <v>60</v>
      </c>
      <c r="G43" s="79" t="s">
        <v>23</v>
      </c>
      <c r="H43" s="79">
        <v>284.98</v>
      </c>
      <c r="I43" s="79">
        <v>275.95999999999998</v>
      </c>
      <c r="J43" s="79">
        <v>9.02</v>
      </c>
      <c r="K43" s="79" t="s">
        <v>28</v>
      </c>
      <c r="L43" s="79" t="s">
        <v>19</v>
      </c>
      <c r="M43" s="79" t="s">
        <v>29</v>
      </c>
      <c r="N43" s="79" t="s">
        <v>20</v>
      </c>
      <c r="O43" s="79"/>
      <c r="P43" s="79">
        <v>5038</v>
      </c>
      <c r="Q43" s="79" t="s">
        <v>21</v>
      </c>
      <c r="R43" s="79" t="s">
        <v>61</v>
      </c>
      <c r="S43" s="79">
        <v>123456789</v>
      </c>
    </row>
    <row r="44" spans="1:19" x14ac:dyDescent="0.25">
      <c r="A44" s="79">
        <v>12345678</v>
      </c>
      <c r="B44" s="79" t="s">
        <v>156</v>
      </c>
      <c r="C44" s="80" t="s">
        <v>157</v>
      </c>
      <c r="D44" s="79">
        <v>123456</v>
      </c>
      <c r="E44" s="81">
        <v>12334567000189</v>
      </c>
      <c r="F44" s="79" t="s">
        <v>60</v>
      </c>
      <c r="G44" s="79" t="s">
        <v>23</v>
      </c>
      <c r="H44" s="79">
        <v>889.36</v>
      </c>
      <c r="I44" s="79">
        <v>852.39</v>
      </c>
      <c r="J44" s="79">
        <v>36.97</v>
      </c>
      <c r="K44" s="79" t="s">
        <v>28</v>
      </c>
      <c r="L44" s="79" t="s">
        <v>19</v>
      </c>
      <c r="M44" s="79" t="s">
        <v>69</v>
      </c>
      <c r="N44" s="79" t="s">
        <v>20</v>
      </c>
      <c r="O44" s="79"/>
      <c r="P44" s="79">
        <v>3249</v>
      </c>
      <c r="Q44" s="79" t="s">
        <v>21</v>
      </c>
      <c r="R44" s="79" t="s">
        <v>61</v>
      </c>
      <c r="S44" s="79">
        <v>123456789</v>
      </c>
    </row>
    <row r="45" spans="1:19" x14ac:dyDescent="0.25">
      <c r="A45" s="79">
        <v>12345678</v>
      </c>
      <c r="B45" s="79" t="s">
        <v>158</v>
      </c>
      <c r="C45" s="80" t="s">
        <v>159</v>
      </c>
      <c r="D45" s="79">
        <v>123456</v>
      </c>
      <c r="E45" s="81">
        <v>12334567000189</v>
      </c>
      <c r="F45" s="79" t="s">
        <v>60</v>
      </c>
      <c r="G45" s="79" t="s">
        <v>23</v>
      </c>
      <c r="H45" s="79">
        <v>24.72</v>
      </c>
      <c r="I45" s="79">
        <v>23.64</v>
      </c>
      <c r="J45" s="79">
        <v>1.08</v>
      </c>
      <c r="K45" s="79" t="s">
        <v>28</v>
      </c>
      <c r="L45" s="79" t="s">
        <v>19</v>
      </c>
      <c r="M45" s="79" t="s">
        <v>27</v>
      </c>
      <c r="N45" s="79" t="s">
        <v>20</v>
      </c>
      <c r="O45" s="79"/>
      <c r="P45" s="79">
        <v>3880</v>
      </c>
      <c r="Q45" s="79" t="s">
        <v>21</v>
      </c>
      <c r="R45" s="79" t="s">
        <v>61</v>
      </c>
      <c r="S45" s="79">
        <v>123456789</v>
      </c>
    </row>
    <row r="46" spans="1:19" x14ac:dyDescent="0.25">
      <c r="A46" s="79">
        <v>12345678</v>
      </c>
      <c r="B46" s="79" t="s">
        <v>160</v>
      </c>
      <c r="C46" s="80" t="s">
        <v>161</v>
      </c>
      <c r="D46" s="79">
        <v>123456</v>
      </c>
      <c r="E46" s="81">
        <v>12334567000189</v>
      </c>
      <c r="F46" s="79" t="s">
        <v>60</v>
      </c>
      <c r="G46" s="79" t="s">
        <v>23</v>
      </c>
      <c r="H46" s="79">
        <v>772.78</v>
      </c>
      <c r="I46" s="79">
        <v>766.02</v>
      </c>
      <c r="J46" s="79">
        <v>6.76</v>
      </c>
      <c r="K46" s="79" t="s">
        <v>22</v>
      </c>
      <c r="L46" s="79" t="s">
        <v>19</v>
      </c>
      <c r="M46" s="79" t="s">
        <v>19</v>
      </c>
      <c r="N46" s="79" t="s">
        <v>20</v>
      </c>
      <c r="O46" s="79"/>
      <c r="P46" s="79">
        <v>4164</v>
      </c>
      <c r="Q46" s="79" t="s">
        <v>21</v>
      </c>
      <c r="R46" s="79" t="s">
        <v>61</v>
      </c>
      <c r="S46" s="79">
        <v>123456789</v>
      </c>
    </row>
    <row r="47" spans="1:19" x14ac:dyDescent="0.25">
      <c r="A47" s="79">
        <v>12345678</v>
      </c>
      <c r="B47" s="79" t="s">
        <v>162</v>
      </c>
      <c r="C47" s="80" t="s">
        <v>163</v>
      </c>
      <c r="D47" s="79">
        <v>123456</v>
      </c>
      <c r="E47" s="81">
        <v>12334567000189</v>
      </c>
      <c r="F47" s="79" t="s">
        <v>60</v>
      </c>
      <c r="G47" s="79" t="s">
        <v>23</v>
      </c>
      <c r="H47" s="79">
        <v>796.19</v>
      </c>
      <c r="I47" s="79">
        <v>766.15</v>
      </c>
      <c r="J47" s="79">
        <v>30.04</v>
      </c>
      <c r="K47" s="79" t="s">
        <v>28</v>
      </c>
      <c r="L47" s="79" t="s">
        <v>19</v>
      </c>
      <c r="M47" s="79" t="s">
        <v>29</v>
      </c>
      <c r="N47" s="79" t="s">
        <v>20</v>
      </c>
      <c r="O47" s="79"/>
      <c r="P47" s="79">
        <v>7021</v>
      </c>
      <c r="Q47" s="79" t="s">
        <v>21</v>
      </c>
      <c r="R47" s="79" t="s">
        <v>61</v>
      </c>
      <c r="S47" s="79">
        <v>123456789</v>
      </c>
    </row>
    <row r="48" spans="1:19" x14ac:dyDescent="0.25">
      <c r="A48" s="79">
        <v>12345678</v>
      </c>
      <c r="B48" s="79" t="s">
        <v>164</v>
      </c>
      <c r="C48" s="80" t="s">
        <v>165</v>
      </c>
      <c r="D48" s="79">
        <v>123456</v>
      </c>
      <c r="E48" s="81">
        <v>12334567000189</v>
      </c>
      <c r="F48" s="79" t="s">
        <v>60</v>
      </c>
      <c r="G48" s="79" t="s">
        <v>23</v>
      </c>
      <c r="H48" s="79">
        <v>54.42</v>
      </c>
      <c r="I48" s="79">
        <v>53.35</v>
      </c>
      <c r="J48" s="79">
        <v>1.07</v>
      </c>
      <c r="K48" s="79" t="s">
        <v>25</v>
      </c>
      <c r="L48" s="79" t="s">
        <v>19</v>
      </c>
      <c r="M48" s="79" t="s">
        <v>89</v>
      </c>
      <c r="N48" s="79" t="s">
        <v>20</v>
      </c>
      <c r="O48" s="79"/>
      <c r="P48" s="79">
        <v>9008</v>
      </c>
      <c r="Q48" s="79" t="s">
        <v>21</v>
      </c>
      <c r="R48" s="79" t="s">
        <v>61</v>
      </c>
      <c r="S48" s="79">
        <v>123456789</v>
      </c>
    </row>
    <row r="49" spans="1:19" x14ac:dyDescent="0.25">
      <c r="A49" s="79">
        <v>12345678</v>
      </c>
      <c r="B49" s="79" t="s">
        <v>166</v>
      </c>
      <c r="C49" s="80" t="s">
        <v>167</v>
      </c>
      <c r="D49" s="79">
        <v>123456</v>
      </c>
      <c r="E49" s="81">
        <v>12334567000189</v>
      </c>
      <c r="F49" s="79" t="s">
        <v>60</v>
      </c>
      <c r="G49" s="79" t="s">
        <v>23</v>
      </c>
      <c r="H49" s="79">
        <v>572.05999999999995</v>
      </c>
      <c r="I49" s="79">
        <v>550.49</v>
      </c>
      <c r="J49" s="79">
        <v>21.57</v>
      </c>
      <c r="K49" s="79" t="s">
        <v>28</v>
      </c>
      <c r="L49" s="79" t="s">
        <v>19</v>
      </c>
      <c r="M49" s="79" t="s">
        <v>24</v>
      </c>
      <c r="N49" s="79" t="s">
        <v>20</v>
      </c>
      <c r="O49" s="79"/>
      <c r="P49" s="79">
        <v>7184</v>
      </c>
      <c r="Q49" s="79" t="s">
        <v>21</v>
      </c>
      <c r="R49" s="79" t="s">
        <v>61</v>
      </c>
      <c r="S49" s="79">
        <v>123456789</v>
      </c>
    </row>
    <row r="50" spans="1:19" x14ac:dyDescent="0.25">
      <c r="A50" s="79">
        <v>12345678</v>
      </c>
      <c r="B50" s="79" t="s">
        <v>168</v>
      </c>
      <c r="C50" s="80" t="s">
        <v>169</v>
      </c>
      <c r="D50" s="79">
        <v>123456</v>
      </c>
      <c r="E50" s="81">
        <v>12334567000189</v>
      </c>
      <c r="F50" s="79" t="s">
        <v>60</v>
      </c>
      <c r="G50" s="79" t="s">
        <v>23</v>
      </c>
      <c r="H50" s="79">
        <v>166.4</v>
      </c>
      <c r="I50" s="79">
        <v>159.78</v>
      </c>
      <c r="J50" s="79">
        <v>6.62</v>
      </c>
      <c r="K50" s="79" t="s">
        <v>28</v>
      </c>
      <c r="L50" s="79" t="s">
        <v>19</v>
      </c>
      <c r="M50" s="79" t="s">
        <v>26</v>
      </c>
      <c r="N50" s="79" t="s">
        <v>20</v>
      </c>
      <c r="O50" s="79"/>
      <c r="P50" s="79">
        <v>1550</v>
      </c>
      <c r="Q50" s="79" t="s">
        <v>21</v>
      </c>
      <c r="R50" s="79" t="s">
        <v>61</v>
      </c>
      <c r="S50" s="79">
        <v>123456789</v>
      </c>
    </row>
    <row r="51" spans="1:19" x14ac:dyDescent="0.25">
      <c r="A51" s="79">
        <v>12345678</v>
      </c>
      <c r="B51" s="79" t="s">
        <v>170</v>
      </c>
      <c r="C51" s="80" t="s">
        <v>171</v>
      </c>
      <c r="D51" s="79">
        <v>123456</v>
      </c>
      <c r="E51" s="81">
        <v>12334567000189</v>
      </c>
      <c r="F51" s="79" t="s">
        <v>60</v>
      </c>
      <c r="G51" s="79" t="s">
        <v>23</v>
      </c>
      <c r="H51" s="79">
        <v>446.84</v>
      </c>
      <c r="I51" s="79">
        <v>433.14</v>
      </c>
      <c r="J51" s="79">
        <v>13.7</v>
      </c>
      <c r="K51" s="79" t="s">
        <v>28</v>
      </c>
      <c r="L51" s="79" t="s">
        <v>19</v>
      </c>
      <c r="M51" s="79" t="s">
        <v>24</v>
      </c>
      <c r="N51" s="79" t="s">
        <v>20</v>
      </c>
      <c r="O51" s="79"/>
      <c r="P51" s="79">
        <v>7244</v>
      </c>
      <c r="Q51" s="79" t="s">
        <v>21</v>
      </c>
      <c r="R51" s="79" t="s">
        <v>61</v>
      </c>
      <c r="S51" s="79">
        <v>123456789</v>
      </c>
    </row>
    <row r="52" spans="1:19" x14ac:dyDescent="0.25">
      <c r="A52" s="79">
        <v>12345678</v>
      </c>
      <c r="B52" s="79" t="s">
        <v>172</v>
      </c>
      <c r="C52" s="80" t="s">
        <v>173</v>
      </c>
      <c r="D52" s="79">
        <v>123456</v>
      </c>
      <c r="E52" s="81">
        <v>12334567000189</v>
      </c>
      <c r="F52" s="79" t="s">
        <v>60</v>
      </c>
      <c r="G52" s="79" t="s">
        <v>23</v>
      </c>
      <c r="H52" s="79">
        <v>53.27</v>
      </c>
      <c r="I52" s="79">
        <v>52.4</v>
      </c>
      <c r="J52" s="79">
        <v>0.87</v>
      </c>
      <c r="K52" s="79" t="s">
        <v>25</v>
      </c>
      <c r="L52" s="79" t="s">
        <v>19</v>
      </c>
      <c r="M52" s="79" t="s">
        <v>89</v>
      </c>
      <c r="N52" s="79" t="s">
        <v>20</v>
      </c>
      <c r="O52" s="79"/>
      <c r="P52" s="79">
        <v>4555</v>
      </c>
      <c r="Q52" s="79" t="s">
        <v>21</v>
      </c>
      <c r="R52" s="79" t="s">
        <v>61</v>
      </c>
      <c r="S52" s="79">
        <v>123456789</v>
      </c>
    </row>
    <row r="53" spans="1:19" x14ac:dyDescent="0.25">
      <c r="A53" s="79">
        <v>12345678</v>
      </c>
      <c r="B53" s="79" t="s">
        <v>174</v>
      </c>
      <c r="C53" s="80" t="s">
        <v>175</v>
      </c>
      <c r="D53" s="79">
        <v>123456</v>
      </c>
      <c r="E53" s="81">
        <v>12334567000189</v>
      </c>
      <c r="F53" s="79" t="s">
        <v>60</v>
      </c>
      <c r="G53" s="79" t="s">
        <v>23</v>
      </c>
      <c r="H53" s="79">
        <v>287.54000000000002</v>
      </c>
      <c r="I53" s="79">
        <v>278.85000000000002</v>
      </c>
      <c r="J53" s="79">
        <v>8.69</v>
      </c>
      <c r="K53" s="79" t="s">
        <v>28</v>
      </c>
      <c r="L53" s="79" t="s">
        <v>19</v>
      </c>
      <c r="M53" s="79" t="s">
        <v>27</v>
      </c>
      <c r="N53" s="79" t="s">
        <v>20</v>
      </c>
      <c r="O53" s="79"/>
      <c r="P53" s="79">
        <v>3390</v>
      </c>
      <c r="Q53" s="79" t="s">
        <v>72</v>
      </c>
      <c r="R53" s="79" t="s">
        <v>61</v>
      </c>
      <c r="S53" s="79">
        <v>123456789</v>
      </c>
    </row>
    <row r="54" spans="1:19" x14ac:dyDescent="0.25">
      <c r="A54" s="79">
        <v>12345678</v>
      </c>
      <c r="B54" s="79" t="s">
        <v>176</v>
      </c>
      <c r="C54" s="80" t="s">
        <v>177</v>
      </c>
      <c r="D54" s="79">
        <v>123456</v>
      </c>
      <c r="E54" s="81">
        <v>12334567000189</v>
      </c>
      <c r="F54" s="79" t="s">
        <v>60</v>
      </c>
      <c r="G54" s="79" t="s">
        <v>23</v>
      </c>
      <c r="H54" s="79">
        <v>218.8</v>
      </c>
      <c r="I54" s="79">
        <v>211.27</v>
      </c>
      <c r="J54" s="79">
        <v>7.53</v>
      </c>
      <c r="K54" s="79" t="s">
        <v>28</v>
      </c>
      <c r="L54" s="79" t="s">
        <v>19</v>
      </c>
      <c r="M54" s="79" t="s">
        <v>27</v>
      </c>
      <c r="N54" s="79" t="s">
        <v>20</v>
      </c>
      <c r="O54" s="79"/>
      <c r="P54" s="79">
        <v>7756</v>
      </c>
      <c r="Q54" s="79" t="s">
        <v>21</v>
      </c>
      <c r="R54" s="79" t="s">
        <v>61</v>
      </c>
      <c r="S54" s="79">
        <v>123456789</v>
      </c>
    </row>
    <row r="55" spans="1:19" x14ac:dyDescent="0.25">
      <c r="A55" s="79">
        <v>12345678</v>
      </c>
      <c r="B55" s="79" t="s">
        <v>178</v>
      </c>
      <c r="C55" s="80" t="s">
        <v>179</v>
      </c>
      <c r="D55" s="79">
        <v>123456</v>
      </c>
      <c r="E55" s="81">
        <v>12334567000189</v>
      </c>
      <c r="F55" s="79" t="s">
        <v>60</v>
      </c>
      <c r="G55" s="79" t="s">
        <v>23</v>
      </c>
      <c r="H55" s="79">
        <v>53.8</v>
      </c>
      <c r="I55" s="79">
        <v>52.01</v>
      </c>
      <c r="J55" s="79">
        <v>1.79</v>
      </c>
      <c r="K55" s="79" t="s">
        <v>28</v>
      </c>
      <c r="L55" s="79" t="s">
        <v>19</v>
      </c>
      <c r="M55" s="79" t="s">
        <v>24</v>
      </c>
      <c r="N55" s="79" t="s">
        <v>20</v>
      </c>
      <c r="O55" s="79"/>
      <c r="P55" s="79">
        <v>7112</v>
      </c>
      <c r="Q55" s="79" t="s">
        <v>21</v>
      </c>
      <c r="R55" s="79" t="s">
        <v>61</v>
      </c>
      <c r="S55" s="79">
        <v>123456789</v>
      </c>
    </row>
    <row r="56" spans="1:19" x14ac:dyDescent="0.25">
      <c r="A56" s="79">
        <v>12345678</v>
      </c>
      <c r="B56" s="79" t="s">
        <v>180</v>
      </c>
      <c r="C56" s="80" t="s">
        <v>181</v>
      </c>
      <c r="D56" s="79">
        <v>123456</v>
      </c>
      <c r="E56" s="81">
        <v>12334567000189</v>
      </c>
      <c r="F56" s="79" t="s">
        <v>60</v>
      </c>
      <c r="G56" s="79" t="s">
        <v>23</v>
      </c>
      <c r="H56" s="79">
        <v>212.2</v>
      </c>
      <c r="I56" s="79">
        <v>210.25</v>
      </c>
      <c r="J56" s="79">
        <v>1.95</v>
      </c>
      <c r="K56" s="79" t="s">
        <v>22</v>
      </c>
      <c r="L56" s="79" t="s">
        <v>19</v>
      </c>
      <c r="M56" s="79" t="s">
        <v>19</v>
      </c>
      <c r="N56" s="79" t="s">
        <v>20</v>
      </c>
      <c r="O56" s="79"/>
      <c r="P56" s="79">
        <v>5593</v>
      </c>
      <c r="Q56" s="79" t="s">
        <v>21</v>
      </c>
      <c r="R56" s="79" t="s">
        <v>61</v>
      </c>
      <c r="S56" s="79">
        <v>123456789</v>
      </c>
    </row>
    <row r="57" spans="1:19" x14ac:dyDescent="0.25">
      <c r="A57" s="79">
        <v>12345678</v>
      </c>
      <c r="B57" s="79" t="s">
        <v>182</v>
      </c>
      <c r="C57" s="80" t="s">
        <v>183</v>
      </c>
      <c r="D57" s="79">
        <v>123456</v>
      </c>
      <c r="E57" s="81">
        <v>12334567000189</v>
      </c>
      <c r="F57" s="79" t="s">
        <v>60</v>
      </c>
      <c r="G57" s="79" t="s">
        <v>23</v>
      </c>
      <c r="H57" s="79">
        <v>279.33999999999997</v>
      </c>
      <c r="I57" s="79">
        <v>274.92</v>
      </c>
      <c r="J57" s="79">
        <v>4.42</v>
      </c>
      <c r="K57" s="79" t="s">
        <v>25</v>
      </c>
      <c r="L57" s="79" t="s">
        <v>19</v>
      </c>
      <c r="M57" s="79" t="s">
        <v>27</v>
      </c>
      <c r="N57" s="79" t="s">
        <v>20</v>
      </c>
      <c r="O57" s="79"/>
      <c r="P57" s="79">
        <v>6347</v>
      </c>
      <c r="Q57" s="79" t="s">
        <v>21</v>
      </c>
      <c r="R57" s="79" t="s">
        <v>61</v>
      </c>
      <c r="S57" s="79">
        <v>123456789</v>
      </c>
    </row>
    <row r="58" spans="1:19" x14ac:dyDescent="0.25">
      <c r="A58" s="79">
        <v>12345678</v>
      </c>
      <c r="B58" s="79" t="s">
        <v>184</v>
      </c>
      <c r="C58" s="80" t="s">
        <v>185</v>
      </c>
      <c r="D58" s="79">
        <v>123456</v>
      </c>
      <c r="E58" s="81">
        <v>12334567000189</v>
      </c>
      <c r="F58" s="79" t="s">
        <v>60</v>
      </c>
      <c r="G58" s="79" t="s">
        <v>23</v>
      </c>
      <c r="H58" s="79">
        <v>1194.3599999999999</v>
      </c>
      <c r="I58" s="79">
        <v>1152.1500000000001</v>
      </c>
      <c r="J58" s="79">
        <v>42.21</v>
      </c>
      <c r="K58" s="79" t="s">
        <v>28</v>
      </c>
      <c r="L58" s="79" t="s">
        <v>19</v>
      </c>
      <c r="M58" s="79" t="s">
        <v>24</v>
      </c>
      <c r="N58" s="79" t="s">
        <v>20</v>
      </c>
      <c r="O58" s="79"/>
      <c r="P58" s="79">
        <v>2524</v>
      </c>
      <c r="Q58" s="79" t="s">
        <v>21</v>
      </c>
      <c r="R58" s="79" t="s">
        <v>61</v>
      </c>
      <c r="S58" s="79">
        <v>123456789</v>
      </c>
    </row>
    <row r="59" spans="1:19" x14ac:dyDescent="0.25">
      <c r="A59" s="79">
        <v>12345678</v>
      </c>
      <c r="B59" s="79" t="s">
        <v>186</v>
      </c>
      <c r="C59" s="80" t="s">
        <v>187</v>
      </c>
      <c r="D59" s="79">
        <v>123456</v>
      </c>
      <c r="E59" s="81">
        <v>12334567000189</v>
      </c>
      <c r="F59" s="79" t="s">
        <v>60</v>
      </c>
      <c r="G59" s="79" t="s">
        <v>23</v>
      </c>
      <c r="H59" s="79">
        <v>307.39999999999998</v>
      </c>
      <c r="I59" s="79">
        <v>302.26</v>
      </c>
      <c r="J59" s="79">
        <v>5.14</v>
      </c>
      <c r="K59" s="79" t="s">
        <v>25</v>
      </c>
      <c r="L59" s="79" t="s">
        <v>19</v>
      </c>
      <c r="M59" s="79" t="s">
        <v>29</v>
      </c>
      <c r="N59" s="79" t="s">
        <v>20</v>
      </c>
      <c r="O59" s="79"/>
      <c r="P59" s="79">
        <v>7224</v>
      </c>
      <c r="Q59" s="79" t="s">
        <v>21</v>
      </c>
      <c r="R59" s="79" t="s">
        <v>61</v>
      </c>
      <c r="S59" s="79">
        <v>123456789</v>
      </c>
    </row>
    <row r="60" spans="1:19" x14ac:dyDescent="0.25">
      <c r="A60" s="79">
        <v>12345678</v>
      </c>
      <c r="B60" s="79" t="s">
        <v>188</v>
      </c>
      <c r="C60" s="80" t="s">
        <v>189</v>
      </c>
      <c r="D60" s="79">
        <v>123456</v>
      </c>
      <c r="E60" s="81">
        <v>12334567000189</v>
      </c>
      <c r="F60" s="79" t="s">
        <v>60</v>
      </c>
      <c r="G60" s="79" t="s">
        <v>23</v>
      </c>
      <c r="H60" s="79">
        <v>246.49</v>
      </c>
      <c r="I60" s="79">
        <v>241.38</v>
      </c>
      <c r="J60" s="79">
        <v>5.1100000000000003</v>
      </c>
      <c r="K60" s="79" t="s">
        <v>25</v>
      </c>
      <c r="L60" s="79" t="s">
        <v>19</v>
      </c>
      <c r="M60" s="79" t="s">
        <v>89</v>
      </c>
      <c r="N60" s="79" t="s">
        <v>20</v>
      </c>
      <c r="O60" s="79"/>
      <c r="P60" s="79">
        <v>8183</v>
      </c>
      <c r="Q60" s="79" t="s">
        <v>21</v>
      </c>
      <c r="R60" s="79" t="s">
        <v>61</v>
      </c>
      <c r="S60" s="79">
        <v>123456789</v>
      </c>
    </row>
    <row r="61" spans="1:19" x14ac:dyDescent="0.25">
      <c r="A61" s="79">
        <v>12345678</v>
      </c>
      <c r="B61" s="79" t="s">
        <v>190</v>
      </c>
      <c r="C61" s="80" t="s">
        <v>191</v>
      </c>
      <c r="D61" s="79">
        <v>123456</v>
      </c>
      <c r="E61" s="81">
        <v>12334567000189</v>
      </c>
      <c r="F61" s="79" t="s">
        <v>60</v>
      </c>
      <c r="G61" s="79" t="s">
        <v>23</v>
      </c>
      <c r="H61" s="79">
        <v>255.86</v>
      </c>
      <c r="I61" s="79">
        <v>250.7</v>
      </c>
      <c r="J61" s="79">
        <v>5.16</v>
      </c>
      <c r="K61" s="79" t="s">
        <v>25</v>
      </c>
      <c r="L61" s="79" t="s">
        <v>19</v>
      </c>
      <c r="M61" s="79" t="s">
        <v>69</v>
      </c>
      <c r="N61" s="79" t="s">
        <v>20</v>
      </c>
      <c r="O61" s="79"/>
      <c r="P61" s="79">
        <v>1725</v>
      </c>
      <c r="Q61" s="79" t="s">
        <v>21</v>
      </c>
      <c r="R61" s="79" t="s">
        <v>61</v>
      </c>
      <c r="S61" s="79">
        <v>123456789</v>
      </c>
    </row>
    <row r="62" spans="1:19" x14ac:dyDescent="0.25">
      <c r="A62" s="79">
        <v>12345678</v>
      </c>
      <c r="B62" s="79" t="s">
        <v>192</v>
      </c>
      <c r="C62" s="80" t="s">
        <v>193</v>
      </c>
      <c r="D62" s="79">
        <v>123456</v>
      </c>
      <c r="E62" s="81">
        <v>12334567000189</v>
      </c>
      <c r="F62" s="79" t="s">
        <v>60</v>
      </c>
      <c r="G62" s="79" t="s">
        <v>23</v>
      </c>
      <c r="H62" s="79">
        <v>290.38</v>
      </c>
      <c r="I62" s="79">
        <v>285.74</v>
      </c>
      <c r="J62" s="79">
        <v>4.6399999999999997</v>
      </c>
      <c r="K62" s="79" t="s">
        <v>25</v>
      </c>
      <c r="L62" s="79" t="s">
        <v>19</v>
      </c>
      <c r="M62" s="79" t="s">
        <v>24</v>
      </c>
      <c r="N62" s="79" t="s">
        <v>20</v>
      </c>
      <c r="O62" s="79"/>
      <c r="P62" s="79">
        <v>2599</v>
      </c>
      <c r="Q62" s="79" t="s">
        <v>21</v>
      </c>
      <c r="R62" s="79" t="s">
        <v>61</v>
      </c>
      <c r="S62" s="79">
        <v>123456789</v>
      </c>
    </row>
    <row r="63" spans="1:19" x14ac:dyDescent="0.25">
      <c r="A63" s="79">
        <v>12345678</v>
      </c>
      <c r="B63" s="79" t="s">
        <v>194</v>
      </c>
      <c r="C63" s="80" t="s">
        <v>195</v>
      </c>
      <c r="D63" s="79">
        <v>123456</v>
      </c>
      <c r="E63" s="81">
        <v>12334567000189</v>
      </c>
      <c r="F63" s="79" t="s">
        <v>60</v>
      </c>
      <c r="G63" s="79" t="s">
        <v>23</v>
      </c>
      <c r="H63" s="79">
        <v>97.08</v>
      </c>
      <c r="I63" s="79">
        <v>92.99</v>
      </c>
      <c r="J63" s="79">
        <v>4.09</v>
      </c>
      <c r="K63" s="79" t="s">
        <v>28</v>
      </c>
      <c r="L63" s="79" t="s">
        <v>19</v>
      </c>
      <c r="M63" s="79" t="s">
        <v>29</v>
      </c>
      <c r="N63" s="79" t="s">
        <v>20</v>
      </c>
      <c r="O63" s="79"/>
      <c r="P63" s="79">
        <v>2667</v>
      </c>
      <c r="Q63" s="79" t="s">
        <v>21</v>
      </c>
      <c r="R63" s="79" t="s">
        <v>61</v>
      </c>
      <c r="S63" s="79">
        <v>123456789</v>
      </c>
    </row>
    <row r="64" spans="1:19" x14ac:dyDescent="0.25">
      <c r="A64" s="79">
        <v>12345678</v>
      </c>
      <c r="B64" s="79" t="s">
        <v>196</v>
      </c>
      <c r="C64" s="80" t="s">
        <v>197</v>
      </c>
      <c r="D64" s="79">
        <v>123456</v>
      </c>
      <c r="E64" s="81">
        <v>12334567000189</v>
      </c>
      <c r="F64" s="79" t="s">
        <v>60</v>
      </c>
      <c r="G64" s="79" t="s">
        <v>23</v>
      </c>
      <c r="H64" s="79">
        <v>67.150000000000006</v>
      </c>
      <c r="I64" s="79">
        <v>66.209999999999994</v>
      </c>
      <c r="J64" s="79">
        <v>0.94</v>
      </c>
      <c r="K64" s="79" t="s">
        <v>25</v>
      </c>
      <c r="L64" s="79" t="s">
        <v>19</v>
      </c>
      <c r="M64" s="79" t="s">
        <v>69</v>
      </c>
      <c r="N64" s="79" t="s">
        <v>20</v>
      </c>
      <c r="O64" s="79"/>
      <c r="P64" s="79">
        <v>9804</v>
      </c>
      <c r="Q64" s="79" t="s">
        <v>21</v>
      </c>
      <c r="R64" s="79" t="s">
        <v>61</v>
      </c>
      <c r="S64" s="79">
        <v>123456789</v>
      </c>
    </row>
    <row r="65" spans="1:19" x14ac:dyDescent="0.25">
      <c r="A65" s="79">
        <v>12345678</v>
      </c>
      <c r="B65" s="79" t="s">
        <v>198</v>
      </c>
      <c r="C65" s="80" t="s">
        <v>199</v>
      </c>
      <c r="D65" s="79">
        <v>123456</v>
      </c>
      <c r="E65" s="81">
        <v>12334567000189</v>
      </c>
      <c r="F65" s="79" t="s">
        <v>60</v>
      </c>
      <c r="G65" s="79" t="s">
        <v>23</v>
      </c>
      <c r="H65" s="79">
        <v>1232.95</v>
      </c>
      <c r="I65" s="79">
        <v>1211.49</v>
      </c>
      <c r="J65" s="79">
        <v>21.46</v>
      </c>
      <c r="K65" s="79" t="s">
        <v>25</v>
      </c>
      <c r="L65" s="79" t="s">
        <v>19</v>
      </c>
      <c r="M65" s="79" t="s">
        <v>27</v>
      </c>
      <c r="N65" s="79" t="s">
        <v>20</v>
      </c>
      <c r="O65" s="79"/>
      <c r="P65" s="79">
        <v>9115</v>
      </c>
      <c r="Q65" s="79" t="s">
        <v>21</v>
      </c>
      <c r="R65" s="79" t="s">
        <v>61</v>
      </c>
      <c r="S65" s="79">
        <v>123456789</v>
      </c>
    </row>
    <row r="66" spans="1:19" x14ac:dyDescent="0.25">
      <c r="A66" s="79">
        <v>12345678</v>
      </c>
      <c r="B66" s="79" t="s">
        <v>200</v>
      </c>
      <c r="C66" s="80" t="s">
        <v>201</v>
      </c>
      <c r="D66" s="79">
        <v>123456</v>
      </c>
      <c r="E66" s="81">
        <v>12334567000189</v>
      </c>
      <c r="F66" s="79" t="s">
        <v>60</v>
      </c>
      <c r="G66" s="79" t="s">
        <v>23</v>
      </c>
      <c r="H66" s="79">
        <v>234.78</v>
      </c>
      <c r="I66" s="79">
        <v>224.84</v>
      </c>
      <c r="J66" s="79">
        <v>9.94</v>
      </c>
      <c r="K66" s="79" t="s">
        <v>28</v>
      </c>
      <c r="L66" s="79" t="s">
        <v>19</v>
      </c>
      <c r="M66" s="79" t="s">
        <v>26</v>
      </c>
      <c r="N66" s="79" t="s">
        <v>20</v>
      </c>
      <c r="O66" s="79"/>
      <c r="P66" s="79">
        <v>4390</v>
      </c>
      <c r="Q66" s="79" t="s">
        <v>21</v>
      </c>
      <c r="R66" s="79" t="s">
        <v>61</v>
      </c>
      <c r="S66" s="79">
        <v>123456789</v>
      </c>
    </row>
    <row r="67" spans="1:19" x14ac:dyDescent="0.25">
      <c r="A67" s="79">
        <v>12345678</v>
      </c>
      <c r="B67" s="79" t="s">
        <v>202</v>
      </c>
      <c r="C67" s="80" t="s">
        <v>203</v>
      </c>
      <c r="D67" s="79">
        <v>123456</v>
      </c>
      <c r="E67" s="81">
        <v>12334567000189</v>
      </c>
      <c r="F67" s="79" t="s">
        <v>60</v>
      </c>
      <c r="G67" s="79" t="s">
        <v>23</v>
      </c>
      <c r="H67" s="79">
        <v>183.09</v>
      </c>
      <c r="I67" s="79">
        <v>180.43</v>
      </c>
      <c r="J67" s="79">
        <v>2.66</v>
      </c>
      <c r="K67" s="79" t="s">
        <v>25</v>
      </c>
      <c r="L67" s="79" t="s">
        <v>19</v>
      </c>
      <c r="M67" s="79" t="s">
        <v>69</v>
      </c>
      <c r="N67" s="79" t="s">
        <v>20</v>
      </c>
      <c r="O67" s="79"/>
      <c r="P67" s="79">
        <v>2525</v>
      </c>
      <c r="Q67" s="79" t="s">
        <v>21</v>
      </c>
      <c r="R67" s="79" t="s">
        <v>61</v>
      </c>
      <c r="S67" s="79">
        <v>123456789</v>
      </c>
    </row>
    <row r="68" spans="1:19" x14ac:dyDescent="0.25">
      <c r="A68" s="79">
        <v>12345678</v>
      </c>
      <c r="B68" s="79" t="s">
        <v>204</v>
      </c>
      <c r="C68" s="80" t="s">
        <v>205</v>
      </c>
      <c r="D68" s="79">
        <v>123456</v>
      </c>
      <c r="E68" s="81">
        <v>12334567000189</v>
      </c>
      <c r="F68" s="79" t="s">
        <v>60</v>
      </c>
      <c r="G68" s="79" t="s">
        <v>23</v>
      </c>
      <c r="H68" s="79">
        <v>264.42</v>
      </c>
      <c r="I68" s="79">
        <v>254.68</v>
      </c>
      <c r="J68" s="79">
        <v>9.74</v>
      </c>
      <c r="K68" s="79" t="s">
        <v>28</v>
      </c>
      <c r="L68" s="79" t="s">
        <v>19</v>
      </c>
      <c r="M68" s="79" t="s">
        <v>24</v>
      </c>
      <c r="N68" s="79" t="s">
        <v>20</v>
      </c>
      <c r="O68" s="79"/>
      <c r="P68" s="79">
        <v>3035</v>
      </c>
      <c r="Q68" s="79" t="s">
        <v>21</v>
      </c>
      <c r="R68" s="79" t="s">
        <v>61</v>
      </c>
      <c r="S68" s="79">
        <v>123456789</v>
      </c>
    </row>
    <row r="69" spans="1:19" x14ac:dyDescent="0.25">
      <c r="A69" s="79">
        <v>12345678</v>
      </c>
      <c r="B69" s="79" t="s">
        <v>206</v>
      </c>
      <c r="C69" s="80" t="s">
        <v>207</v>
      </c>
      <c r="D69" s="79">
        <v>123456</v>
      </c>
      <c r="E69" s="81">
        <v>12334567000189</v>
      </c>
      <c r="F69" s="79" t="s">
        <v>60</v>
      </c>
      <c r="G69" s="79" t="s">
        <v>23</v>
      </c>
      <c r="H69" s="79">
        <v>297.63</v>
      </c>
      <c r="I69" s="79">
        <v>294.74</v>
      </c>
      <c r="J69" s="79">
        <v>2.89</v>
      </c>
      <c r="K69" s="79" t="s">
        <v>22</v>
      </c>
      <c r="L69" s="79" t="s">
        <v>19</v>
      </c>
      <c r="M69" s="79" t="s">
        <v>19</v>
      </c>
      <c r="N69" s="79" t="s">
        <v>20</v>
      </c>
      <c r="O69" s="79"/>
      <c r="P69" s="79">
        <v>6629</v>
      </c>
      <c r="Q69" s="79" t="s">
        <v>21</v>
      </c>
      <c r="R69" s="79" t="s">
        <v>61</v>
      </c>
      <c r="S69" s="79">
        <v>123456789</v>
      </c>
    </row>
    <row r="70" spans="1:19" x14ac:dyDescent="0.25">
      <c r="A70" s="79">
        <v>12345678</v>
      </c>
      <c r="B70" s="79" t="s">
        <v>208</v>
      </c>
      <c r="C70" s="80" t="s">
        <v>209</v>
      </c>
      <c r="D70" s="79">
        <v>123456</v>
      </c>
      <c r="E70" s="81">
        <v>12334567000189</v>
      </c>
      <c r="F70" s="79" t="s">
        <v>60</v>
      </c>
      <c r="G70" s="79" t="s">
        <v>125</v>
      </c>
      <c r="H70" s="79">
        <v>48.33</v>
      </c>
      <c r="I70" s="79">
        <v>47.67</v>
      </c>
      <c r="J70" s="79">
        <v>0.66</v>
      </c>
      <c r="K70" s="79" t="s">
        <v>25</v>
      </c>
      <c r="L70" s="79" t="s">
        <v>19</v>
      </c>
      <c r="M70" s="79" t="s">
        <v>24</v>
      </c>
      <c r="N70" s="79" t="s">
        <v>20</v>
      </c>
      <c r="O70" s="79"/>
      <c r="P70" s="79">
        <v>7291</v>
      </c>
      <c r="Q70" s="79" t="s">
        <v>21</v>
      </c>
      <c r="R70" s="79" t="s">
        <v>61</v>
      </c>
      <c r="S70" s="79">
        <v>123456789</v>
      </c>
    </row>
    <row r="71" spans="1:19" x14ac:dyDescent="0.25">
      <c r="A71" s="79">
        <v>12345678</v>
      </c>
      <c r="B71" s="79" t="s">
        <v>210</v>
      </c>
      <c r="C71" s="80" t="s">
        <v>211</v>
      </c>
      <c r="D71" s="79">
        <v>123456</v>
      </c>
      <c r="E71" s="81">
        <v>12334567000189</v>
      </c>
      <c r="F71" s="79" t="s">
        <v>60</v>
      </c>
      <c r="G71" s="79" t="s">
        <v>23</v>
      </c>
      <c r="H71" s="79">
        <v>81.86</v>
      </c>
      <c r="I71" s="79">
        <v>78.61</v>
      </c>
      <c r="J71" s="79">
        <v>3.25</v>
      </c>
      <c r="K71" s="79" t="s">
        <v>28</v>
      </c>
      <c r="L71" s="79" t="s">
        <v>19</v>
      </c>
      <c r="M71" s="79" t="s">
        <v>27</v>
      </c>
      <c r="N71" s="79" t="s">
        <v>20</v>
      </c>
      <c r="O71" s="79"/>
      <c r="P71" s="79">
        <v>7895</v>
      </c>
      <c r="Q71" s="79" t="s">
        <v>21</v>
      </c>
      <c r="R71" s="79" t="s">
        <v>61</v>
      </c>
      <c r="S71" s="79">
        <v>123456789</v>
      </c>
    </row>
    <row r="72" spans="1:19" x14ac:dyDescent="0.25">
      <c r="A72" s="79">
        <v>12345678</v>
      </c>
      <c r="B72" s="79" t="s">
        <v>212</v>
      </c>
      <c r="C72" s="80" t="s">
        <v>213</v>
      </c>
      <c r="D72" s="79">
        <v>123456</v>
      </c>
      <c r="E72" s="81">
        <v>12334567000189</v>
      </c>
      <c r="F72" s="79" t="s">
        <v>60</v>
      </c>
      <c r="G72" s="79" t="s">
        <v>23</v>
      </c>
      <c r="H72" s="79">
        <v>286.79000000000002</v>
      </c>
      <c r="I72" s="79">
        <v>274.87</v>
      </c>
      <c r="J72" s="79">
        <v>11.92</v>
      </c>
      <c r="K72" s="79" t="s">
        <v>28</v>
      </c>
      <c r="L72" s="79" t="s">
        <v>19</v>
      </c>
      <c r="M72" s="79" t="s">
        <v>29</v>
      </c>
      <c r="N72" s="79" t="s">
        <v>20</v>
      </c>
      <c r="O72" s="79"/>
      <c r="P72" s="79">
        <v>8167</v>
      </c>
      <c r="Q72" s="79" t="s">
        <v>21</v>
      </c>
      <c r="R72" s="79" t="s">
        <v>61</v>
      </c>
      <c r="S72" s="79">
        <v>123456789</v>
      </c>
    </row>
    <row r="73" spans="1:19" x14ac:dyDescent="0.25">
      <c r="A73" s="79">
        <v>12345678</v>
      </c>
      <c r="B73" s="79" t="s">
        <v>214</v>
      </c>
      <c r="C73" s="80" t="s">
        <v>215</v>
      </c>
      <c r="D73" s="79">
        <v>123456</v>
      </c>
      <c r="E73" s="81">
        <v>12334567000189</v>
      </c>
      <c r="F73" s="79" t="s">
        <v>60</v>
      </c>
      <c r="G73" s="79" t="s">
        <v>23</v>
      </c>
      <c r="H73" s="79">
        <v>35</v>
      </c>
      <c r="I73" s="79">
        <v>34.409999999999997</v>
      </c>
      <c r="J73" s="79">
        <v>0.59</v>
      </c>
      <c r="K73" s="79" t="s">
        <v>25</v>
      </c>
      <c r="L73" s="79" t="s">
        <v>19</v>
      </c>
      <c r="M73" s="79" t="s">
        <v>24</v>
      </c>
      <c r="N73" s="79" t="s">
        <v>20</v>
      </c>
      <c r="O73" s="79"/>
      <c r="P73" s="79">
        <v>2262</v>
      </c>
      <c r="Q73" s="79" t="s">
        <v>21</v>
      </c>
      <c r="R73" s="79" t="s">
        <v>61</v>
      </c>
      <c r="S73" s="79">
        <v>123456789</v>
      </c>
    </row>
    <row r="74" spans="1:19" x14ac:dyDescent="0.25">
      <c r="A74" s="79">
        <v>12345678</v>
      </c>
      <c r="B74" s="79" t="s">
        <v>216</v>
      </c>
      <c r="C74" s="80" t="s">
        <v>217</v>
      </c>
      <c r="D74" s="79">
        <v>123456</v>
      </c>
      <c r="E74" s="81">
        <v>12334567000189</v>
      </c>
      <c r="F74" s="79" t="s">
        <v>60</v>
      </c>
      <c r="G74" s="79" t="s">
        <v>23</v>
      </c>
      <c r="H74" s="79">
        <v>259.20999999999998</v>
      </c>
      <c r="I74" s="79">
        <v>250.78</v>
      </c>
      <c r="J74" s="79">
        <v>8.43</v>
      </c>
      <c r="K74" s="79" t="s">
        <v>28</v>
      </c>
      <c r="L74" s="79" t="s">
        <v>19</v>
      </c>
      <c r="M74" s="79" t="s">
        <v>27</v>
      </c>
      <c r="N74" s="79" t="s">
        <v>20</v>
      </c>
      <c r="O74" s="79"/>
      <c r="P74" s="79">
        <v>1862</v>
      </c>
      <c r="Q74" s="79" t="s">
        <v>21</v>
      </c>
      <c r="R74" s="79" t="s">
        <v>61</v>
      </c>
      <c r="S74" s="79">
        <v>123456789</v>
      </c>
    </row>
    <row r="75" spans="1:19" x14ac:dyDescent="0.25">
      <c r="A75" s="79">
        <v>12345678</v>
      </c>
      <c r="B75" s="79" t="s">
        <v>218</v>
      </c>
      <c r="C75" s="80" t="s">
        <v>219</v>
      </c>
      <c r="D75" s="79">
        <v>123456</v>
      </c>
      <c r="E75" s="81">
        <v>12334567000189</v>
      </c>
      <c r="F75" s="79" t="s">
        <v>60</v>
      </c>
      <c r="G75" s="79" t="s">
        <v>23</v>
      </c>
      <c r="H75" s="79">
        <v>1472.45</v>
      </c>
      <c r="I75" s="79">
        <v>1426.75</v>
      </c>
      <c r="J75" s="79">
        <v>45.7</v>
      </c>
      <c r="K75" s="79" t="s">
        <v>28</v>
      </c>
      <c r="L75" s="79" t="s">
        <v>19</v>
      </c>
      <c r="M75" s="79" t="s">
        <v>24</v>
      </c>
      <c r="N75" s="79" t="s">
        <v>20</v>
      </c>
      <c r="O75" s="79"/>
      <c r="P75" s="79">
        <v>7164</v>
      </c>
      <c r="Q75" s="79" t="s">
        <v>102</v>
      </c>
      <c r="R75" s="79" t="s">
        <v>61</v>
      </c>
      <c r="S75" s="79">
        <v>123456789</v>
      </c>
    </row>
    <row r="76" spans="1:19" x14ac:dyDescent="0.25">
      <c r="A76" s="79">
        <v>12345678</v>
      </c>
      <c r="B76" s="79" t="s">
        <v>220</v>
      </c>
      <c r="C76" s="80" t="s">
        <v>221</v>
      </c>
      <c r="D76" s="79">
        <v>123456</v>
      </c>
      <c r="E76" s="81">
        <v>12334567000189</v>
      </c>
      <c r="F76" s="79" t="s">
        <v>60</v>
      </c>
      <c r="G76" s="79" t="s">
        <v>23</v>
      </c>
      <c r="H76" s="79">
        <v>163.65</v>
      </c>
      <c r="I76" s="79">
        <v>161.16999999999999</v>
      </c>
      <c r="J76" s="79">
        <v>2.48</v>
      </c>
      <c r="K76" s="79" t="s">
        <v>25</v>
      </c>
      <c r="L76" s="79" t="s">
        <v>19</v>
      </c>
      <c r="M76" s="79" t="s">
        <v>24</v>
      </c>
      <c r="N76" s="79" t="s">
        <v>20</v>
      </c>
      <c r="O76" s="79"/>
      <c r="P76" s="79">
        <v>6345</v>
      </c>
      <c r="Q76" s="79" t="s">
        <v>21</v>
      </c>
      <c r="R76" s="79" t="s">
        <v>61</v>
      </c>
      <c r="S76" s="79">
        <v>123456789</v>
      </c>
    </row>
    <row r="77" spans="1:19" x14ac:dyDescent="0.25">
      <c r="A77" s="79">
        <v>12345678</v>
      </c>
      <c r="B77" s="79" t="s">
        <v>222</v>
      </c>
      <c r="C77" s="80" t="s">
        <v>223</v>
      </c>
      <c r="D77" s="79">
        <v>123456</v>
      </c>
      <c r="E77" s="81">
        <v>12334567000189</v>
      </c>
      <c r="F77" s="79" t="s">
        <v>60</v>
      </c>
      <c r="G77" s="79" t="s">
        <v>23</v>
      </c>
      <c r="H77" s="79">
        <v>68.790000000000006</v>
      </c>
      <c r="I77" s="79">
        <v>65.92</v>
      </c>
      <c r="J77" s="79">
        <v>2.87</v>
      </c>
      <c r="K77" s="79" t="s">
        <v>28</v>
      </c>
      <c r="L77" s="79" t="s">
        <v>19</v>
      </c>
      <c r="M77" s="79" t="s">
        <v>89</v>
      </c>
      <c r="N77" s="79" t="s">
        <v>20</v>
      </c>
      <c r="O77" s="79"/>
      <c r="P77" s="79">
        <v>7625</v>
      </c>
      <c r="Q77" s="79" t="s">
        <v>21</v>
      </c>
      <c r="R77" s="79" t="s">
        <v>61</v>
      </c>
      <c r="S77" s="79">
        <v>123456789</v>
      </c>
    </row>
    <row r="78" spans="1:19" x14ac:dyDescent="0.25">
      <c r="A78" s="79">
        <v>12345678</v>
      </c>
      <c r="B78" s="79" t="s">
        <v>224</v>
      </c>
      <c r="C78" s="80" t="s">
        <v>225</v>
      </c>
      <c r="D78" s="79">
        <v>123456</v>
      </c>
      <c r="E78" s="81">
        <v>12334567000189</v>
      </c>
      <c r="F78" s="79" t="s">
        <v>60</v>
      </c>
      <c r="G78" s="79" t="s">
        <v>23</v>
      </c>
      <c r="H78" s="79">
        <v>37.47</v>
      </c>
      <c r="I78" s="79">
        <v>36.950000000000003</v>
      </c>
      <c r="J78" s="79">
        <v>0.52</v>
      </c>
      <c r="K78" s="79" t="s">
        <v>25</v>
      </c>
      <c r="L78" s="79" t="s">
        <v>19</v>
      </c>
      <c r="M78" s="79" t="s">
        <v>27</v>
      </c>
      <c r="N78" s="79" t="s">
        <v>20</v>
      </c>
      <c r="O78" s="79"/>
      <c r="P78" s="79">
        <v>7471</v>
      </c>
      <c r="Q78" s="79" t="s">
        <v>21</v>
      </c>
      <c r="R78" s="79" t="s">
        <v>61</v>
      </c>
      <c r="S78" s="79">
        <v>123456789</v>
      </c>
    </row>
    <row r="79" spans="1:19" x14ac:dyDescent="0.25">
      <c r="A79" s="79">
        <v>12345678</v>
      </c>
      <c r="B79" s="79" t="s">
        <v>226</v>
      </c>
      <c r="C79" s="80" t="s">
        <v>227</v>
      </c>
      <c r="D79" s="79">
        <v>123456</v>
      </c>
      <c r="E79" s="81">
        <v>12334567000189</v>
      </c>
      <c r="F79" s="79" t="s">
        <v>60</v>
      </c>
      <c r="G79" s="79" t="s">
        <v>23</v>
      </c>
      <c r="H79" s="79">
        <v>112.64</v>
      </c>
      <c r="I79" s="79">
        <v>107.73</v>
      </c>
      <c r="J79" s="79">
        <v>4.91</v>
      </c>
      <c r="K79" s="79" t="s">
        <v>28</v>
      </c>
      <c r="L79" s="79" t="s">
        <v>19</v>
      </c>
      <c r="M79" s="79" t="s">
        <v>26</v>
      </c>
      <c r="N79" s="79" t="s">
        <v>20</v>
      </c>
      <c r="O79" s="79"/>
      <c r="P79" s="79">
        <v>3946</v>
      </c>
      <c r="Q79" s="79" t="s">
        <v>21</v>
      </c>
      <c r="R79" s="79" t="s">
        <v>61</v>
      </c>
      <c r="S79" s="79">
        <v>123456789</v>
      </c>
    </row>
    <row r="80" spans="1:19" x14ac:dyDescent="0.25">
      <c r="A80" s="79">
        <v>12345678</v>
      </c>
      <c r="B80" s="79" t="s">
        <v>228</v>
      </c>
      <c r="C80" s="80" t="s">
        <v>229</v>
      </c>
      <c r="D80" s="79">
        <v>123456</v>
      </c>
      <c r="E80" s="81">
        <v>12334567000189</v>
      </c>
      <c r="F80" s="79" t="s">
        <v>60</v>
      </c>
      <c r="G80" s="79" t="s">
        <v>23</v>
      </c>
      <c r="H80" s="79">
        <v>245.1</v>
      </c>
      <c r="I80" s="79">
        <v>236.71</v>
      </c>
      <c r="J80" s="79">
        <v>8.39</v>
      </c>
      <c r="K80" s="79" t="s">
        <v>28</v>
      </c>
      <c r="L80" s="79" t="s">
        <v>19</v>
      </c>
      <c r="M80" s="79" t="s">
        <v>24</v>
      </c>
      <c r="N80" s="79" t="s">
        <v>20</v>
      </c>
      <c r="O80" s="79"/>
      <c r="P80" s="79">
        <v>3328</v>
      </c>
      <c r="Q80" s="79" t="s">
        <v>21</v>
      </c>
      <c r="R80" s="79" t="s">
        <v>61</v>
      </c>
      <c r="S80" s="79">
        <v>123456789</v>
      </c>
    </row>
    <row r="81" spans="1:19" x14ac:dyDescent="0.25">
      <c r="A81" s="79">
        <v>12345678</v>
      </c>
      <c r="B81" s="79" t="s">
        <v>230</v>
      </c>
      <c r="C81" s="80" t="s">
        <v>231</v>
      </c>
      <c r="D81" s="79">
        <v>123456</v>
      </c>
      <c r="E81" s="81">
        <v>12334567000189</v>
      </c>
      <c r="F81" s="79" t="s">
        <v>60</v>
      </c>
      <c r="G81" s="79" t="s">
        <v>23</v>
      </c>
      <c r="H81" s="79">
        <v>1428.98</v>
      </c>
      <c r="I81" s="79">
        <v>1404.07</v>
      </c>
      <c r="J81" s="79">
        <v>24.91</v>
      </c>
      <c r="K81" s="79" t="s">
        <v>25</v>
      </c>
      <c r="L81" s="79" t="s">
        <v>19</v>
      </c>
      <c r="M81" s="79" t="s">
        <v>26</v>
      </c>
      <c r="N81" s="79" t="s">
        <v>20</v>
      </c>
      <c r="O81" s="79"/>
      <c r="P81" s="79">
        <v>6514</v>
      </c>
      <c r="Q81" s="79" t="s">
        <v>21</v>
      </c>
      <c r="R81" s="79" t="s">
        <v>61</v>
      </c>
      <c r="S81" s="79">
        <v>123456789</v>
      </c>
    </row>
    <row r="82" spans="1:19" x14ac:dyDescent="0.25">
      <c r="A82" s="79">
        <v>12345678</v>
      </c>
      <c r="B82" s="79" t="s">
        <v>232</v>
      </c>
      <c r="C82" s="80" t="s">
        <v>233</v>
      </c>
      <c r="D82" s="79">
        <v>123456</v>
      </c>
      <c r="E82" s="81">
        <v>12334567000189</v>
      </c>
      <c r="F82" s="79" t="s">
        <v>60</v>
      </c>
      <c r="G82" s="79" t="s">
        <v>23</v>
      </c>
      <c r="H82" s="79">
        <v>285.12</v>
      </c>
      <c r="I82" s="79">
        <v>273.18</v>
      </c>
      <c r="J82" s="79">
        <v>11.94</v>
      </c>
      <c r="K82" s="79" t="s">
        <v>28</v>
      </c>
      <c r="L82" s="79" t="s">
        <v>19</v>
      </c>
      <c r="M82" s="79" t="s">
        <v>24</v>
      </c>
      <c r="N82" s="79" t="s">
        <v>20</v>
      </c>
      <c r="O82" s="79"/>
      <c r="P82" s="79">
        <v>3304</v>
      </c>
      <c r="Q82" s="79" t="s">
        <v>21</v>
      </c>
      <c r="R82" s="79" t="s">
        <v>61</v>
      </c>
      <c r="S82" s="79">
        <v>123456789</v>
      </c>
    </row>
    <row r="83" spans="1:19" x14ac:dyDescent="0.25">
      <c r="A83" s="79">
        <v>12345678</v>
      </c>
      <c r="B83" s="79" t="s">
        <v>234</v>
      </c>
      <c r="C83" s="80" t="s">
        <v>235</v>
      </c>
      <c r="D83" s="79">
        <v>123456</v>
      </c>
      <c r="E83" s="81">
        <v>12334567000189</v>
      </c>
      <c r="F83" s="79" t="s">
        <v>60</v>
      </c>
      <c r="G83" s="79" t="s">
        <v>23</v>
      </c>
      <c r="H83" s="79">
        <v>102.66</v>
      </c>
      <c r="I83" s="79">
        <v>98.6</v>
      </c>
      <c r="J83" s="79">
        <v>4.0599999999999996</v>
      </c>
      <c r="K83" s="79" t="s">
        <v>28</v>
      </c>
      <c r="L83" s="79" t="s">
        <v>19</v>
      </c>
      <c r="M83" s="79" t="s">
        <v>29</v>
      </c>
      <c r="N83" s="79" t="s">
        <v>20</v>
      </c>
      <c r="O83" s="79"/>
      <c r="P83" s="79">
        <v>1547</v>
      </c>
      <c r="Q83" s="79" t="s">
        <v>62</v>
      </c>
      <c r="R83" s="79" t="s">
        <v>61</v>
      </c>
      <c r="S83" s="79">
        <v>123456789</v>
      </c>
    </row>
    <row r="84" spans="1:19" x14ac:dyDescent="0.25">
      <c r="A84" s="79">
        <v>12345678</v>
      </c>
      <c r="B84" s="79" t="s">
        <v>236</v>
      </c>
      <c r="C84" s="80" t="s">
        <v>237</v>
      </c>
      <c r="D84" s="79">
        <v>123456</v>
      </c>
      <c r="E84" s="81">
        <v>12334567000189</v>
      </c>
      <c r="F84" s="79" t="s">
        <v>60</v>
      </c>
      <c r="G84" s="79" t="s">
        <v>23</v>
      </c>
      <c r="H84" s="79">
        <v>944.52</v>
      </c>
      <c r="I84" s="79">
        <v>913.77</v>
      </c>
      <c r="J84" s="79">
        <v>30.75</v>
      </c>
      <c r="K84" s="79" t="s">
        <v>28</v>
      </c>
      <c r="L84" s="79" t="s">
        <v>19</v>
      </c>
      <c r="M84" s="79" t="s">
        <v>24</v>
      </c>
      <c r="N84" s="79" t="s">
        <v>20</v>
      </c>
      <c r="O84" s="79"/>
      <c r="P84" s="79">
        <v>1893</v>
      </c>
      <c r="Q84" s="79" t="s">
        <v>21</v>
      </c>
      <c r="R84" s="79" t="s">
        <v>61</v>
      </c>
      <c r="S84" s="79">
        <v>123456789</v>
      </c>
    </row>
    <row r="85" spans="1:19" x14ac:dyDescent="0.25">
      <c r="A85" s="79">
        <v>12345678</v>
      </c>
      <c r="B85" s="79" t="s">
        <v>238</v>
      </c>
      <c r="C85" s="80" t="s">
        <v>239</v>
      </c>
      <c r="D85" s="79">
        <v>123456</v>
      </c>
      <c r="E85" s="81">
        <v>12334567000189</v>
      </c>
      <c r="F85" s="79" t="s">
        <v>60</v>
      </c>
      <c r="G85" s="79" t="s">
        <v>23</v>
      </c>
      <c r="H85" s="79">
        <v>201.99</v>
      </c>
      <c r="I85" s="79">
        <v>194.11</v>
      </c>
      <c r="J85" s="79">
        <v>7.88</v>
      </c>
      <c r="K85" s="79" t="s">
        <v>28</v>
      </c>
      <c r="L85" s="79" t="s">
        <v>19</v>
      </c>
      <c r="M85" s="79" t="s">
        <v>27</v>
      </c>
      <c r="N85" s="79" t="s">
        <v>20</v>
      </c>
      <c r="O85" s="79"/>
      <c r="P85" s="79">
        <v>7782</v>
      </c>
      <c r="Q85" s="79" t="s">
        <v>21</v>
      </c>
      <c r="R85" s="79" t="s">
        <v>61</v>
      </c>
      <c r="S85" s="79">
        <v>123456789</v>
      </c>
    </row>
    <row r="86" spans="1:19" x14ac:dyDescent="0.25">
      <c r="A86" s="79">
        <v>12345678</v>
      </c>
      <c r="B86" s="79" t="s">
        <v>240</v>
      </c>
      <c r="C86" s="80" t="s">
        <v>241</v>
      </c>
      <c r="D86" s="79">
        <v>123456</v>
      </c>
      <c r="E86" s="81">
        <v>12334567000189</v>
      </c>
      <c r="F86" s="79" t="s">
        <v>60</v>
      </c>
      <c r="G86" s="79" t="s">
        <v>23</v>
      </c>
      <c r="H86" s="79">
        <v>253.83</v>
      </c>
      <c r="I86" s="79">
        <v>250.97</v>
      </c>
      <c r="J86" s="79">
        <v>2.86</v>
      </c>
      <c r="K86" s="79" t="s">
        <v>22</v>
      </c>
      <c r="L86" s="79" t="s">
        <v>19</v>
      </c>
      <c r="M86" s="79" t="s">
        <v>19</v>
      </c>
      <c r="N86" s="79" t="s">
        <v>20</v>
      </c>
      <c r="O86" s="79"/>
      <c r="P86" s="79">
        <v>3422</v>
      </c>
      <c r="Q86" s="79" t="s">
        <v>21</v>
      </c>
      <c r="R86" s="79" t="s">
        <v>61</v>
      </c>
      <c r="S86" s="79">
        <v>123456789</v>
      </c>
    </row>
    <row r="87" spans="1:19" x14ac:dyDescent="0.25">
      <c r="A87" s="79">
        <v>12345678</v>
      </c>
      <c r="B87" s="79" t="s">
        <v>242</v>
      </c>
      <c r="C87" s="80" t="s">
        <v>243</v>
      </c>
      <c r="D87" s="79">
        <v>123456</v>
      </c>
      <c r="E87" s="81">
        <v>12334567000189</v>
      </c>
      <c r="F87" s="79" t="s">
        <v>60</v>
      </c>
      <c r="G87" s="79" t="s">
        <v>23</v>
      </c>
      <c r="H87" s="79">
        <v>848.5</v>
      </c>
      <c r="I87" s="79">
        <v>836.96</v>
      </c>
      <c r="J87" s="79">
        <v>11.54</v>
      </c>
      <c r="K87" s="79" t="s">
        <v>25</v>
      </c>
      <c r="L87" s="79" t="s">
        <v>19</v>
      </c>
      <c r="M87" s="79" t="s">
        <v>24</v>
      </c>
      <c r="N87" s="79" t="s">
        <v>20</v>
      </c>
      <c r="O87" s="79"/>
      <c r="P87" s="79">
        <v>8750</v>
      </c>
      <c r="Q87" s="79" t="s">
        <v>21</v>
      </c>
      <c r="R87" s="79" t="s">
        <v>61</v>
      </c>
      <c r="S87" s="79">
        <v>123456789</v>
      </c>
    </row>
    <row r="88" spans="1:19" x14ac:dyDescent="0.25">
      <c r="A88" s="79">
        <v>12345678</v>
      </c>
      <c r="B88" s="79" t="s">
        <v>244</v>
      </c>
      <c r="C88" s="80" t="s">
        <v>245</v>
      </c>
      <c r="D88" s="79">
        <v>123456</v>
      </c>
      <c r="E88" s="81">
        <v>12334567000189</v>
      </c>
      <c r="F88" s="79" t="s">
        <v>60</v>
      </c>
      <c r="G88" s="79" t="s">
        <v>23</v>
      </c>
      <c r="H88" s="79">
        <v>186.51</v>
      </c>
      <c r="I88" s="79">
        <v>178.97</v>
      </c>
      <c r="J88" s="79">
        <v>7.54</v>
      </c>
      <c r="K88" s="79" t="s">
        <v>28</v>
      </c>
      <c r="L88" s="79" t="s">
        <v>19</v>
      </c>
      <c r="M88" s="79" t="s">
        <v>29</v>
      </c>
      <c r="N88" s="79" t="s">
        <v>20</v>
      </c>
      <c r="O88" s="79"/>
      <c r="P88" s="79">
        <v>8937</v>
      </c>
      <c r="Q88" s="79" t="s">
        <v>21</v>
      </c>
      <c r="R88" s="79" t="s">
        <v>61</v>
      </c>
      <c r="S88" s="79">
        <v>123456789</v>
      </c>
    </row>
    <row r="89" spans="1:19" x14ac:dyDescent="0.25">
      <c r="A89" s="79">
        <v>12345678</v>
      </c>
      <c r="B89" s="79" t="s">
        <v>246</v>
      </c>
      <c r="C89" s="80" t="s">
        <v>247</v>
      </c>
      <c r="D89" s="79">
        <v>123456</v>
      </c>
      <c r="E89" s="81">
        <v>12334567000189</v>
      </c>
      <c r="F89" s="79" t="s">
        <v>60</v>
      </c>
      <c r="G89" s="79" t="s">
        <v>23</v>
      </c>
      <c r="H89" s="79">
        <v>609.16</v>
      </c>
      <c r="I89" s="79">
        <v>600.37</v>
      </c>
      <c r="J89" s="79">
        <v>8.7899999999999991</v>
      </c>
      <c r="K89" s="79" t="s">
        <v>25</v>
      </c>
      <c r="L89" s="79" t="s">
        <v>19</v>
      </c>
      <c r="M89" s="79" t="s">
        <v>26</v>
      </c>
      <c r="N89" s="79" t="s">
        <v>20</v>
      </c>
      <c r="O89" s="79"/>
      <c r="P89" s="79">
        <v>6640</v>
      </c>
      <c r="Q89" s="79" t="s">
        <v>21</v>
      </c>
      <c r="R89" s="79" t="s">
        <v>61</v>
      </c>
      <c r="S89" s="79">
        <v>123456789</v>
      </c>
    </row>
    <row r="90" spans="1:19" x14ac:dyDescent="0.25">
      <c r="A90" s="79">
        <v>12345678</v>
      </c>
      <c r="B90" s="79" t="s">
        <v>248</v>
      </c>
      <c r="C90" s="80" t="s">
        <v>249</v>
      </c>
      <c r="D90" s="79">
        <v>123456</v>
      </c>
      <c r="E90" s="81">
        <v>12334567000189</v>
      </c>
      <c r="F90" s="79" t="s">
        <v>60</v>
      </c>
      <c r="G90" s="79" t="s">
        <v>23</v>
      </c>
      <c r="H90" s="79">
        <v>209.77</v>
      </c>
      <c r="I90" s="79">
        <v>202.58</v>
      </c>
      <c r="J90" s="79">
        <v>7.19</v>
      </c>
      <c r="K90" s="79" t="s">
        <v>28</v>
      </c>
      <c r="L90" s="79" t="s">
        <v>19</v>
      </c>
      <c r="M90" s="79" t="s">
        <v>24</v>
      </c>
      <c r="N90" s="79" t="s">
        <v>20</v>
      </c>
      <c r="O90" s="79"/>
      <c r="P90" s="79">
        <v>4575</v>
      </c>
      <c r="Q90" s="79" t="s">
        <v>21</v>
      </c>
      <c r="R90" s="79" t="s">
        <v>61</v>
      </c>
      <c r="S90" s="79">
        <v>123456789</v>
      </c>
    </row>
    <row r="91" spans="1:19" x14ac:dyDescent="0.25">
      <c r="A91" s="79">
        <v>12345678</v>
      </c>
      <c r="B91" s="79" t="s">
        <v>250</v>
      </c>
      <c r="C91" s="80" t="s">
        <v>251</v>
      </c>
      <c r="D91" s="79">
        <v>123456</v>
      </c>
      <c r="E91" s="81">
        <v>12334567000189</v>
      </c>
      <c r="F91" s="79" t="s">
        <v>60</v>
      </c>
      <c r="G91" s="79" t="s">
        <v>23</v>
      </c>
      <c r="H91" s="79">
        <v>538.29</v>
      </c>
      <c r="I91" s="79">
        <v>521.32000000000005</v>
      </c>
      <c r="J91" s="79">
        <v>16.97</v>
      </c>
      <c r="K91" s="79" t="s">
        <v>28</v>
      </c>
      <c r="L91" s="79" t="s">
        <v>19</v>
      </c>
      <c r="M91" s="79" t="s">
        <v>89</v>
      </c>
      <c r="N91" s="79" t="s">
        <v>20</v>
      </c>
      <c r="O91" s="79"/>
      <c r="P91" s="79">
        <v>9148</v>
      </c>
      <c r="Q91" s="79" t="s">
        <v>72</v>
      </c>
      <c r="R91" s="79" t="s">
        <v>61</v>
      </c>
      <c r="S91" s="79">
        <v>123456789</v>
      </c>
    </row>
    <row r="92" spans="1:19" x14ac:dyDescent="0.25">
      <c r="A92" s="79">
        <v>12345678</v>
      </c>
      <c r="B92" s="79" t="s">
        <v>252</v>
      </c>
      <c r="C92" s="80" t="s">
        <v>253</v>
      </c>
      <c r="D92" s="79">
        <v>123456</v>
      </c>
      <c r="E92" s="81">
        <v>12334567000189</v>
      </c>
      <c r="F92" s="79" t="s">
        <v>60</v>
      </c>
      <c r="G92" s="79" t="s">
        <v>23</v>
      </c>
      <c r="H92" s="79">
        <v>122.6</v>
      </c>
      <c r="I92" s="79">
        <v>121.6</v>
      </c>
      <c r="J92" s="79">
        <v>1</v>
      </c>
      <c r="K92" s="79" t="s">
        <v>22</v>
      </c>
      <c r="L92" s="79" t="s">
        <v>19</v>
      </c>
      <c r="M92" s="79" t="s">
        <v>19</v>
      </c>
      <c r="N92" s="79" t="s">
        <v>20</v>
      </c>
      <c r="O92" s="79"/>
      <c r="P92" s="79">
        <v>6031</v>
      </c>
      <c r="Q92" s="79" t="s">
        <v>21</v>
      </c>
      <c r="R92" s="79" t="s">
        <v>61</v>
      </c>
      <c r="S92" s="79">
        <v>123456789</v>
      </c>
    </row>
    <row r="93" spans="1:19" x14ac:dyDescent="0.25">
      <c r="A93" s="79">
        <v>12345678</v>
      </c>
      <c r="B93" s="79" t="s">
        <v>254</v>
      </c>
      <c r="C93" s="80" t="s">
        <v>255</v>
      </c>
      <c r="D93" s="79">
        <v>123456</v>
      </c>
      <c r="E93" s="81">
        <v>12334567000189</v>
      </c>
      <c r="F93" s="79" t="s">
        <v>60</v>
      </c>
      <c r="G93" s="79" t="s">
        <v>23</v>
      </c>
      <c r="H93" s="79">
        <v>179.82</v>
      </c>
      <c r="I93" s="79">
        <v>173.17</v>
      </c>
      <c r="J93" s="79">
        <v>6.65</v>
      </c>
      <c r="K93" s="79" t="s">
        <v>28</v>
      </c>
      <c r="L93" s="79" t="s">
        <v>19</v>
      </c>
      <c r="M93" s="79" t="s">
        <v>29</v>
      </c>
      <c r="N93" s="79" t="s">
        <v>20</v>
      </c>
      <c r="O93" s="79"/>
      <c r="P93" s="79">
        <v>1077</v>
      </c>
      <c r="Q93" s="79" t="s">
        <v>21</v>
      </c>
      <c r="R93" s="79" t="s">
        <v>61</v>
      </c>
      <c r="S93" s="79">
        <v>123456789</v>
      </c>
    </row>
    <row r="94" spans="1:19" x14ac:dyDescent="0.25">
      <c r="A94" s="79">
        <v>12345678</v>
      </c>
      <c r="B94" s="79" t="s">
        <v>256</v>
      </c>
      <c r="C94" s="80" t="s">
        <v>257</v>
      </c>
      <c r="D94" s="79">
        <v>123456</v>
      </c>
      <c r="E94" s="81">
        <v>12334567000189</v>
      </c>
      <c r="F94" s="79" t="s">
        <v>60</v>
      </c>
      <c r="G94" s="79" t="s">
        <v>23</v>
      </c>
      <c r="H94" s="79">
        <v>177.12</v>
      </c>
      <c r="I94" s="79">
        <v>171.39</v>
      </c>
      <c r="J94" s="79">
        <v>5.73</v>
      </c>
      <c r="K94" s="79" t="s">
        <v>28</v>
      </c>
      <c r="L94" s="79" t="s">
        <v>19</v>
      </c>
      <c r="M94" s="79" t="s">
        <v>29</v>
      </c>
      <c r="N94" s="79" t="s">
        <v>20</v>
      </c>
      <c r="O94" s="79"/>
      <c r="P94" s="79">
        <v>9524</v>
      </c>
      <c r="Q94" s="79" t="s">
        <v>21</v>
      </c>
      <c r="R94" s="79" t="s">
        <v>61</v>
      </c>
      <c r="S94" s="79">
        <v>123456789</v>
      </c>
    </row>
    <row r="95" spans="1:19" x14ac:dyDescent="0.25">
      <c r="A95" s="79">
        <v>12345678</v>
      </c>
      <c r="B95" s="79" t="s">
        <v>258</v>
      </c>
      <c r="C95" s="80" t="s">
        <v>259</v>
      </c>
      <c r="D95" s="79">
        <v>123456</v>
      </c>
      <c r="E95" s="81">
        <v>12334567000189</v>
      </c>
      <c r="F95" s="79" t="s">
        <v>60</v>
      </c>
      <c r="G95" s="79" t="s">
        <v>23</v>
      </c>
      <c r="H95" s="79">
        <v>897.28</v>
      </c>
      <c r="I95" s="79">
        <v>882.85</v>
      </c>
      <c r="J95" s="79">
        <v>14.43</v>
      </c>
      <c r="K95" s="79" t="s">
        <v>25</v>
      </c>
      <c r="L95" s="79" t="s">
        <v>19</v>
      </c>
      <c r="M95" s="79" t="s">
        <v>24</v>
      </c>
      <c r="N95" s="79" t="s">
        <v>20</v>
      </c>
      <c r="O95" s="79"/>
      <c r="P95" s="79">
        <v>7230</v>
      </c>
      <c r="Q95" s="79" t="s">
        <v>21</v>
      </c>
      <c r="R95" s="79" t="s">
        <v>61</v>
      </c>
      <c r="S95" s="79">
        <v>123456789</v>
      </c>
    </row>
    <row r="96" spans="1:19" x14ac:dyDescent="0.25">
      <c r="A96" s="79">
        <v>12345678</v>
      </c>
      <c r="B96" s="79" t="s">
        <v>260</v>
      </c>
      <c r="C96" s="80" t="s">
        <v>261</v>
      </c>
      <c r="D96" s="79">
        <v>123456</v>
      </c>
      <c r="E96" s="81">
        <v>12334567000189</v>
      </c>
      <c r="F96" s="79" t="s">
        <v>60</v>
      </c>
      <c r="G96" s="79" t="s">
        <v>23</v>
      </c>
      <c r="H96" s="79">
        <v>69.59</v>
      </c>
      <c r="I96" s="79">
        <v>66.790000000000006</v>
      </c>
      <c r="J96" s="79">
        <v>2.8</v>
      </c>
      <c r="K96" s="79" t="s">
        <v>28</v>
      </c>
      <c r="L96" s="79" t="s">
        <v>19</v>
      </c>
      <c r="M96" s="79" t="s">
        <v>29</v>
      </c>
      <c r="N96" s="79" t="s">
        <v>20</v>
      </c>
      <c r="O96" s="79"/>
      <c r="P96" s="79">
        <v>2458</v>
      </c>
      <c r="Q96" s="79" t="s">
        <v>21</v>
      </c>
      <c r="R96" s="79" t="s">
        <v>61</v>
      </c>
      <c r="S96" s="79">
        <v>123456789</v>
      </c>
    </row>
    <row r="97" spans="1:19" x14ac:dyDescent="0.25">
      <c r="A97" s="79">
        <v>12345678</v>
      </c>
      <c r="B97" s="79" t="s">
        <v>262</v>
      </c>
      <c r="C97" s="82" t="s">
        <v>263</v>
      </c>
      <c r="D97" s="79">
        <v>123456</v>
      </c>
      <c r="E97" s="81">
        <v>12334567000189</v>
      </c>
      <c r="F97" s="79" t="s">
        <v>60</v>
      </c>
      <c r="G97" s="79" t="s">
        <v>23</v>
      </c>
      <c r="H97" s="79">
        <v>53.25</v>
      </c>
      <c r="I97" s="79">
        <v>52.8</v>
      </c>
      <c r="J97" s="79">
        <v>0.45</v>
      </c>
      <c r="K97" s="79" t="s">
        <v>22</v>
      </c>
      <c r="L97" s="79" t="s">
        <v>19</v>
      </c>
      <c r="M97" s="79" t="s">
        <v>19</v>
      </c>
      <c r="N97" s="79" t="s">
        <v>20</v>
      </c>
      <c r="O97" s="79"/>
      <c r="P97" s="79">
        <v>2522</v>
      </c>
      <c r="Q97" s="79" t="s">
        <v>21</v>
      </c>
      <c r="R97" s="79" t="s">
        <v>61</v>
      </c>
      <c r="S97" s="79">
        <v>123456789</v>
      </c>
    </row>
    <row r="98" spans="1:19" x14ac:dyDescent="0.25">
      <c r="A98" s="79">
        <v>12345678</v>
      </c>
      <c r="B98" s="79" t="s">
        <v>264</v>
      </c>
      <c r="C98" s="82" t="s">
        <v>265</v>
      </c>
      <c r="D98" s="79">
        <v>123456</v>
      </c>
      <c r="E98" s="81">
        <v>12334567000189</v>
      </c>
      <c r="F98" s="79" t="s">
        <v>60</v>
      </c>
      <c r="G98" s="79" t="s">
        <v>23</v>
      </c>
      <c r="H98" s="79">
        <v>126.07</v>
      </c>
      <c r="I98" s="79">
        <v>121.42</v>
      </c>
      <c r="J98" s="79">
        <v>4.6500000000000004</v>
      </c>
      <c r="K98" s="79" t="s">
        <v>28</v>
      </c>
      <c r="L98" s="79" t="s">
        <v>19</v>
      </c>
      <c r="M98" s="79" t="s">
        <v>24</v>
      </c>
      <c r="N98" s="79" t="s">
        <v>20</v>
      </c>
      <c r="O98" s="79"/>
      <c r="P98" s="79">
        <v>2037</v>
      </c>
      <c r="Q98" s="79" t="s">
        <v>21</v>
      </c>
      <c r="R98" s="79" t="s">
        <v>61</v>
      </c>
      <c r="S98" s="79">
        <v>123456789</v>
      </c>
    </row>
    <row r="99" spans="1:19" x14ac:dyDescent="0.25">
      <c r="A99" s="79">
        <v>12345678</v>
      </c>
      <c r="B99" s="79" t="s">
        <v>266</v>
      </c>
      <c r="C99" s="82" t="s">
        <v>267</v>
      </c>
      <c r="D99" s="79">
        <v>123456</v>
      </c>
      <c r="E99" s="81">
        <v>12334567000189</v>
      </c>
      <c r="F99" s="79" t="s">
        <v>60</v>
      </c>
      <c r="G99" s="79" t="s">
        <v>23</v>
      </c>
      <c r="H99" s="79">
        <v>206.6</v>
      </c>
      <c r="I99" s="79">
        <v>198.02</v>
      </c>
      <c r="J99" s="79">
        <v>8.58</v>
      </c>
      <c r="K99" s="79" t="s">
        <v>28</v>
      </c>
      <c r="L99" s="79" t="s">
        <v>19</v>
      </c>
      <c r="M99" s="79" t="s">
        <v>89</v>
      </c>
      <c r="N99" s="79" t="s">
        <v>20</v>
      </c>
      <c r="O99" s="79"/>
      <c r="P99" s="79">
        <v>5557</v>
      </c>
      <c r="Q99" s="79" t="s">
        <v>62</v>
      </c>
      <c r="R99" s="79" t="s">
        <v>61</v>
      </c>
      <c r="S99" s="79">
        <v>123456789</v>
      </c>
    </row>
    <row r="100" spans="1:19" x14ac:dyDescent="0.25">
      <c r="A100" s="79">
        <v>12345678</v>
      </c>
      <c r="B100" s="79" t="s">
        <v>268</v>
      </c>
      <c r="C100" s="82" t="s">
        <v>269</v>
      </c>
      <c r="D100" s="79">
        <v>123456</v>
      </c>
      <c r="E100" s="81">
        <v>12334567000189</v>
      </c>
      <c r="F100" s="79" t="s">
        <v>60</v>
      </c>
      <c r="G100" s="79" t="s">
        <v>23</v>
      </c>
      <c r="H100" s="79">
        <v>126.95</v>
      </c>
      <c r="I100" s="79">
        <v>122.69</v>
      </c>
      <c r="J100" s="79">
        <v>4.26</v>
      </c>
      <c r="K100" s="79" t="s">
        <v>28</v>
      </c>
      <c r="L100" s="79" t="s">
        <v>19</v>
      </c>
      <c r="M100" s="79" t="s">
        <v>24</v>
      </c>
      <c r="N100" s="79" t="s">
        <v>20</v>
      </c>
      <c r="O100" s="79"/>
      <c r="P100" s="79">
        <v>8751</v>
      </c>
      <c r="Q100" s="79" t="s">
        <v>21</v>
      </c>
      <c r="R100" s="79" t="s">
        <v>61</v>
      </c>
      <c r="S100" s="79">
        <v>123456789</v>
      </c>
    </row>
    <row r="101" spans="1:19" x14ac:dyDescent="0.25">
      <c r="A101" s="79">
        <v>12345678</v>
      </c>
      <c r="B101" s="79" t="s">
        <v>270</v>
      </c>
      <c r="C101" s="82" t="s">
        <v>271</v>
      </c>
      <c r="D101" s="79">
        <v>123456</v>
      </c>
      <c r="E101" s="81">
        <v>12334567000189</v>
      </c>
      <c r="F101" s="79" t="s">
        <v>60</v>
      </c>
      <c r="G101" s="79" t="s">
        <v>23</v>
      </c>
      <c r="H101" s="79">
        <v>38.26</v>
      </c>
      <c r="I101" s="79">
        <v>37.54</v>
      </c>
      <c r="J101" s="79">
        <v>0.72</v>
      </c>
      <c r="K101" s="79" t="s">
        <v>25</v>
      </c>
      <c r="L101" s="79" t="s">
        <v>19</v>
      </c>
      <c r="M101" s="79" t="s">
        <v>29</v>
      </c>
      <c r="N101" s="79" t="s">
        <v>20</v>
      </c>
      <c r="O101" s="79"/>
      <c r="P101" s="79">
        <v>8381</v>
      </c>
      <c r="Q101" s="79" t="s">
        <v>21</v>
      </c>
      <c r="R101" s="79" t="s">
        <v>61</v>
      </c>
      <c r="S101" s="79">
        <v>123456789</v>
      </c>
    </row>
    <row r="102" spans="1:19" x14ac:dyDescent="0.25">
      <c r="A102" s="79">
        <v>12345678</v>
      </c>
      <c r="B102" s="79" t="s">
        <v>272</v>
      </c>
      <c r="C102" s="82" t="s">
        <v>273</v>
      </c>
      <c r="D102" s="79">
        <v>123456</v>
      </c>
      <c r="E102" s="81">
        <v>12334567000189</v>
      </c>
      <c r="F102" s="79" t="s">
        <v>60</v>
      </c>
      <c r="G102" s="79" t="s">
        <v>23</v>
      </c>
      <c r="H102" s="79">
        <v>289.52</v>
      </c>
      <c r="I102" s="79">
        <v>280.82</v>
      </c>
      <c r="J102" s="79">
        <v>8.6999999999999993</v>
      </c>
      <c r="K102" s="79" t="s">
        <v>28</v>
      </c>
      <c r="L102" s="79" t="s">
        <v>19</v>
      </c>
      <c r="M102" s="79" t="s">
        <v>69</v>
      </c>
      <c r="N102" s="79" t="s">
        <v>20</v>
      </c>
      <c r="O102" s="79"/>
      <c r="P102" s="79">
        <v>9393</v>
      </c>
      <c r="Q102" s="79" t="s">
        <v>21</v>
      </c>
      <c r="R102" s="79" t="s">
        <v>61</v>
      </c>
      <c r="S102" s="79">
        <v>123456789</v>
      </c>
    </row>
    <row r="103" spans="1:19" x14ac:dyDescent="0.25">
      <c r="A103" s="79">
        <v>12345678</v>
      </c>
      <c r="B103" s="79" t="s">
        <v>274</v>
      </c>
      <c r="C103" s="82" t="s">
        <v>275</v>
      </c>
      <c r="D103" s="79">
        <v>123456</v>
      </c>
      <c r="E103" s="81">
        <v>12334567000189</v>
      </c>
      <c r="F103" s="79" t="s">
        <v>60</v>
      </c>
      <c r="G103" s="79" t="s">
        <v>23</v>
      </c>
      <c r="H103" s="79">
        <v>727.12</v>
      </c>
      <c r="I103" s="79">
        <v>695.1</v>
      </c>
      <c r="J103" s="79">
        <v>32.020000000000003</v>
      </c>
      <c r="K103" s="79" t="s">
        <v>28</v>
      </c>
      <c r="L103" s="79" t="s">
        <v>19</v>
      </c>
      <c r="M103" s="79" t="s">
        <v>69</v>
      </c>
      <c r="N103" s="79" t="s">
        <v>20</v>
      </c>
      <c r="O103" s="79"/>
      <c r="P103" s="79">
        <v>1869</v>
      </c>
      <c r="Q103" s="79" t="s">
        <v>21</v>
      </c>
      <c r="R103" s="79" t="s">
        <v>61</v>
      </c>
      <c r="S103" s="79">
        <v>123456789</v>
      </c>
    </row>
    <row r="104" spans="1:19" x14ac:dyDescent="0.25">
      <c r="A104" s="79">
        <v>12345678</v>
      </c>
      <c r="B104" s="79" t="s">
        <v>276</v>
      </c>
      <c r="C104" s="82" t="s">
        <v>277</v>
      </c>
      <c r="D104" s="79">
        <v>123456</v>
      </c>
      <c r="E104" s="81">
        <v>12334567000189</v>
      </c>
      <c r="F104" s="79" t="s">
        <v>60</v>
      </c>
      <c r="G104" s="79" t="s">
        <v>23</v>
      </c>
      <c r="H104" s="79">
        <v>56.67</v>
      </c>
      <c r="I104" s="79">
        <v>55.79</v>
      </c>
      <c r="J104" s="79">
        <v>0.88</v>
      </c>
      <c r="K104" s="79" t="s">
        <v>25</v>
      </c>
      <c r="L104" s="79" t="s">
        <v>19</v>
      </c>
      <c r="M104" s="79" t="s">
        <v>26</v>
      </c>
      <c r="N104" s="79" t="s">
        <v>20</v>
      </c>
      <c r="O104" s="79"/>
      <c r="P104" s="79">
        <v>5117</v>
      </c>
      <c r="Q104" s="79" t="s">
        <v>21</v>
      </c>
      <c r="R104" s="79" t="s">
        <v>61</v>
      </c>
      <c r="S104" s="79">
        <v>123456789</v>
      </c>
    </row>
    <row r="105" spans="1:19" x14ac:dyDescent="0.25">
      <c r="A105" s="79">
        <v>12345678</v>
      </c>
      <c r="B105" s="79" t="s">
        <v>278</v>
      </c>
      <c r="C105" s="82" t="s">
        <v>279</v>
      </c>
      <c r="D105" s="79">
        <v>123456</v>
      </c>
      <c r="E105" s="81">
        <v>12334567000189</v>
      </c>
      <c r="F105" s="79" t="s">
        <v>60</v>
      </c>
      <c r="G105" s="79" t="s">
        <v>23</v>
      </c>
      <c r="H105" s="79">
        <v>565.84</v>
      </c>
      <c r="I105" s="79">
        <v>546.95000000000005</v>
      </c>
      <c r="J105" s="79">
        <v>18.89</v>
      </c>
      <c r="K105" s="79" t="s">
        <v>28</v>
      </c>
      <c r="L105" s="79" t="s">
        <v>19</v>
      </c>
      <c r="M105" s="79" t="s">
        <v>69</v>
      </c>
      <c r="N105" s="79" t="s">
        <v>20</v>
      </c>
      <c r="O105" s="79"/>
      <c r="P105" s="79">
        <v>5934</v>
      </c>
      <c r="Q105" s="79" t="s">
        <v>62</v>
      </c>
      <c r="R105" s="79" t="s">
        <v>61</v>
      </c>
      <c r="S105" s="79">
        <v>123456789</v>
      </c>
    </row>
    <row r="106" spans="1:19" x14ac:dyDescent="0.25">
      <c r="A106" s="79">
        <v>12345678</v>
      </c>
      <c r="B106" s="79" t="s">
        <v>280</v>
      </c>
      <c r="C106" s="82" t="s">
        <v>281</v>
      </c>
      <c r="D106" s="79">
        <v>123456</v>
      </c>
      <c r="E106" s="81">
        <v>12334567000189</v>
      </c>
      <c r="F106" s="79" t="s">
        <v>60</v>
      </c>
      <c r="G106" s="79" t="s">
        <v>23</v>
      </c>
      <c r="H106" s="79">
        <v>237.37</v>
      </c>
      <c r="I106" s="79">
        <v>229.12</v>
      </c>
      <c r="J106" s="79">
        <v>8.25</v>
      </c>
      <c r="K106" s="79" t="s">
        <v>28</v>
      </c>
      <c r="L106" s="79" t="s">
        <v>19</v>
      </c>
      <c r="M106" s="79" t="s">
        <v>27</v>
      </c>
      <c r="N106" s="79" t="s">
        <v>20</v>
      </c>
      <c r="O106" s="79"/>
      <c r="P106" s="79">
        <v>7248</v>
      </c>
      <c r="Q106" s="79" t="s">
        <v>72</v>
      </c>
      <c r="R106" s="79" t="s">
        <v>61</v>
      </c>
      <c r="S106" s="79">
        <v>123456789</v>
      </c>
    </row>
    <row r="107" spans="1:19" x14ac:dyDescent="0.25">
      <c r="A107" s="79">
        <v>12345678</v>
      </c>
      <c r="B107" s="79" t="s">
        <v>282</v>
      </c>
      <c r="C107" s="82" t="s">
        <v>283</v>
      </c>
      <c r="D107" s="79">
        <v>123456</v>
      </c>
      <c r="E107" s="81">
        <v>12334567000189</v>
      </c>
      <c r="F107" s="79" t="s">
        <v>60</v>
      </c>
      <c r="G107" s="79" t="s">
        <v>23</v>
      </c>
      <c r="H107" s="79">
        <v>166.67</v>
      </c>
      <c r="I107" s="79">
        <v>165.15</v>
      </c>
      <c r="J107" s="79">
        <v>1.52</v>
      </c>
      <c r="K107" s="79" t="s">
        <v>22</v>
      </c>
      <c r="L107" s="79" t="s">
        <v>19</v>
      </c>
      <c r="M107" s="79" t="s">
        <v>19</v>
      </c>
      <c r="N107" s="79" t="s">
        <v>20</v>
      </c>
      <c r="O107" s="79"/>
      <c r="P107" s="79">
        <v>2181</v>
      </c>
      <c r="Q107" s="79" t="s">
        <v>21</v>
      </c>
      <c r="R107" s="79" t="s">
        <v>61</v>
      </c>
      <c r="S107" s="79">
        <v>123456789</v>
      </c>
    </row>
    <row r="108" spans="1:19" x14ac:dyDescent="0.25">
      <c r="A108" s="79">
        <v>12345678</v>
      </c>
      <c r="B108" s="79" t="s">
        <v>284</v>
      </c>
      <c r="C108" s="82" t="s">
        <v>285</v>
      </c>
      <c r="D108" s="79">
        <v>123456</v>
      </c>
      <c r="E108" s="81">
        <v>12334567000189</v>
      </c>
      <c r="F108" s="79" t="s">
        <v>60</v>
      </c>
      <c r="G108" s="79" t="s">
        <v>23</v>
      </c>
      <c r="H108" s="79">
        <v>106.2</v>
      </c>
      <c r="I108" s="79">
        <v>104.74</v>
      </c>
      <c r="J108" s="79">
        <v>1.46</v>
      </c>
      <c r="K108" s="79" t="s">
        <v>25</v>
      </c>
      <c r="L108" s="79" t="s">
        <v>19</v>
      </c>
      <c r="M108" s="79" t="s">
        <v>29</v>
      </c>
      <c r="N108" s="79" t="s">
        <v>20</v>
      </c>
      <c r="O108" s="79"/>
      <c r="P108" s="79">
        <v>7249</v>
      </c>
      <c r="Q108" s="79" t="s">
        <v>21</v>
      </c>
      <c r="R108" s="79" t="s">
        <v>61</v>
      </c>
      <c r="S108" s="79">
        <v>123456789</v>
      </c>
    </row>
    <row r="109" spans="1:19" x14ac:dyDescent="0.25">
      <c r="A109" s="79">
        <v>12345678</v>
      </c>
      <c r="B109" s="79" t="s">
        <v>286</v>
      </c>
      <c r="C109" s="82" t="s">
        <v>285</v>
      </c>
      <c r="D109" s="79">
        <v>123456</v>
      </c>
      <c r="E109" s="81">
        <v>12334567000189</v>
      </c>
      <c r="F109" s="79" t="s">
        <v>60</v>
      </c>
      <c r="G109" s="79" t="s">
        <v>23</v>
      </c>
      <c r="H109" s="79">
        <v>164.71</v>
      </c>
      <c r="I109" s="79">
        <v>159.43</v>
      </c>
      <c r="J109" s="79">
        <v>5.28</v>
      </c>
      <c r="K109" s="79" t="s">
        <v>28</v>
      </c>
      <c r="L109" s="79" t="s">
        <v>19</v>
      </c>
      <c r="M109" s="79" t="s">
        <v>24</v>
      </c>
      <c r="N109" s="79" t="s">
        <v>20</v>
      </c>
      <c r="O109" s="79"/>
      <c r="P109" s="79">
        <v>4014</v>
      </c>
      <c r="Q109" s="79" t="s">
        <v>62</v>
      </c>
      <c r="R109" s="79" t="s">
        <v>61</v>
      </c>
      <c r="S109" s="79">
        <v>123456789</v>
      </c>
    </row>
    <row r="110" spans="1:19" x14ac:dyDescent="0.25">
      <c r="A110" s="79">
        <v>12345678</v>
      </c>
      <c r="B110" s="79" t="s">
        <v>287</v>
      </c>
      <c r="C110" s="82" t="s">
        <v>288</v>
      </c>
      <c r="D110" s="79">
        <v>123456</v>
      </c>
      <c r="E110" s="81">
        <v>12334567000189</v>
      </c>
      <c r="F110" s="79" t="s">
        <v>60</v>
      </c>
      <c r="G110" s="79" t="s">
        <v>23</v>
      </c>
      <c r="H110" s="79">
        <v>62.59</v>
      </c>
      <c r="I110" s="79">
        <v>59.96</v>
      </c>
      <c r="J110" s="79">
        <v>2.63</v>
      </c>
      <c r="K110" s="79" t="s">
        <v>28</v>
      </c>
      <c r="L110" s="79" t="s">
        <v>19</v>
      </c>
      <c r="M110" s="79" t="s">
        <v>29</v>
      </c>
      <c r="N110" s="79" t="s">
        <v>20</v>
      </c>
      <c r="O110" s="79"/>
      <c r="P110" s="79">
        <v>1079</v>
      </c>
      <c r="Q110" s="79" t="s">
        <v>102</v>
      </c>
      <c r="R110" s="79" t="s">
        <v>61</v>
      </c>
      <c r="S110" s="79">
        <v>123456789</v>
      </c>
    </row>
    <row r="111" spans="1:19" x14ac:dyDescent="0.25">
      <c r="A111" s="79">
        <v>12345678</v>
      </c>
      <c r="B111" s="79" t="s">
        <v>289</v>
      </c>
      <c r="C111" s="82" t="s">
        <v>290</v>
      </c>
      <c r="D111" s="79">
        <v>123456</v>
      </c>
      <c r="E111" s="81">
        <v>12334567000189</v>
      </c>
      <c r="F111" s="79" t="s">
        <v>60</v>
      </c>
      <c r="G111" s="79" t="s">
        <v>23</v>
      </c>
      <c r="H111" s="79">
        <v>195.84</v>
      </c>
      <c r="I111" s="79">
        <v>189.15</v>
      </c>
      <c r="J111" s="79">
        <v>6.69</v>
      </c>
      <c r="K111" s="79" t="s">
        <v>28</v>
      </c>
      <c r="L111" s="79" t="s">
        <v>19</v>
      </c>
      <c r="M111" s="79" t="s">
        <v>26</v>
      </c>
      <c r="N111" s="79" t="s">
        <v>20</v>
      </c>
      <c r="O111" s="79"/>
      <c r="P111" s="79">
        <v>9904</v>
      </c>
      <c r="Q111" s="79" t="s">
        <v>21</v>
      </c>
      <c r="R111" s="79" t="s">
        <v>61</v>
      </c>
      <c r="S111" s="79">
        <v>123456789</v>
      </c>
    </row>
    <row r="112" spans="1:19" x14ac:dyDescent="0.25">
      <c r="A112" s="79">
        <v>12345678</v>
      </c>
      <c r="B112" s="79" t="s">
        <v>291</v>
      </c>
      <c r="C112" s="82" t="s">
        <v>292</v>
      </c>
      <c r="D112" s="79">
        <v>123456</v>
      </c>
      <c r="E112" s="81">
        <v>12334567000189</v>
      </c>
      <c r="F112" s="79" t="s">
        <v>60</v>
      </c>
      <c r="G112" s="79" t="s">
        <v>23</v>
      </c>
      <c r="H112" s="79">
        <v>53.1</v>
      </c>
      <c r="I112" s="79">
        <v>52.22</v>
      </c>
      <c r="J112" s="79">
        <v>0.88</v>
      </c>
      <c r="K112" s="79" t="s">
        <v>25</v>
      </c>
      <c r="L112" s="79" t="s">
        <v>19</v>
      </c>
      <c r="M112" s="79" t="s">
        <v>89</v>
      </c>
      <c r="N112" s="79" t="s">
        <v>20</v>
      </c>
      <c r="O112" s="79"/>
      <c r="P112" s="79">
        <v>1701</v>
      </c>
      <c r="Q112" s="79" t="s">
        <v>21</v>
      </c>
      <c r="R112" s="79" t="s">
        <v>61</v>
      </c>
      <c r="S112" s="79">
        <v>123456789</v>
      </c>
    </row>
    <row r="113" spans="1:19" x14ac:dyDescent="0.25">
      <c r="A113" s="79">
        <v>12345678</v>
      </c>
      <c r="B113" s="79" t="s">
        <v>293</v>
      </c>
      <c r="C113" s="82" t="s">
        <v>294</v>
      </c>
      <c r="D113" s="79">
        <v>123456</v>
      </c>
      <c r="E113" s="81">
        <v>12334567000189</v>
      </c>
      <c r="F113" s="79" t="s">
        <v>60</v>
      </c>
      <c r="G113" s="79" t="s">
        <v>23</v>
      </c>
      <c r="H113" s="79">
        <v>122.55</v>
      </c>
      <c r="I113" s="79">
        <v>119.94</v>
      </c>
      <c r="J113" s="79">
        <v>2.61</v>
      </c>
      <c r="K113" s="79" t="s">
        <v>25</v>
      </c>
      <c r="L113" s="79" t="s">
        <v>19</v>
      </c>
      <c r="M113" s="79" t="s">
        <v>29</v>
      </c>
      <c r="N113" s="79" t="s">
        <v>20</v>
      </c>
      <c r="O113" s="79"/>
      <c r="P113" s="79">
        <v>8207</v>
      </c>
      <c r="Q113" s="79" t="s">
        <v>21</v>
      </c>
      <c r="R113" s="79" t="s">
        <v>61</v>
      </c>
      <c r="S113" s="79">
        <v>123456789</v>
      </c>
    </row>
    <row r="114" spans="1:19" x14ac:dyDescent="0.25">
      <c r="A114" s="79">
        <v>12345678</v>
      </c>
      <c r="B114" s="79" t="s">
        <v>295</v>
      </c>
      <c r="C114" s="82" t="s">
        <v>296</v>
      </c>
      <c r="D114" s="79">
        <v>123456</v>
      </c>
      <c r="E114" s="81">
        <v>12334567000189</v>
      </c>
      <c r="F114" s="79" t="s">
        <v>60</v>
      </c>
      <c r="G114" s="79" t="s">
        <v>23</v>
      </c>
      <c r="H114" s="79">
        <v>71.34</v>
      </c>
      <c r="I114" s="79">
        <v>69</v>
      </c>
      <c r="J114" s="79">
        <v>2.34</v>
      </c>
      <c r="K114" s="79" t="s">
        <v>28</v>
      </c>
      <c r="L114" s="79" t="s">
        <v>19</v>
      </c>
      <c r="M114" s="79" t="s">
        <v>26</v>
      </c>
      <c r="N114" s="79" t="s">
        <v>20</v>
      </c>
      <c r="O114" s="79"/>
      <c r="P114" s="79">
        <v>5644</v>
      </c>
      <c r="Q114" s="79" t="s">
        <v>21</v>
      </c>
      <c r="R114" s="79" t="s">
        <v>61</v>
      </c>
      <c r="S114" s="79">
        <v>123456789</v>
      </c>
    </row>
    <row r="115" spans="1:19" x14ac:dyDescent="0.25">
      <c r="A115" s="79">
        <v>12345678</v>
      </c>
      <c r="B115" s="79" t="s">
        <v>297</v>
      </c>
      <c r="C115" s="82" t="s">
        <v>298</v>
      </c>
      <c r="D115" s="79">
        <v>123456</v>
      </c>
      <c r="E115" s="81">
        <v>12334567000189</v>
      </c>
      <c r="F115" s="79" t="s">
        <v>60</v>
      </c>
      <c r="G115" s="79" t="s">
        <v>23</v>
      </c>
      <c r="H115" s="79">
        <v>146.71</v>
      </c>
      <c r="I115" s="79">
        <v>145.25</v>
      </c>
      <c r="J115" s="79">
        <v>1.46</v>
      </c>
      <c r="K115" s="79" t="s">
        <v>22</v>
      </c>
      <c r="L115" s="79" t="s">
        <v>19</v>
      </c>
      <c r="M115" s="79" t="s">
        <v>19</v>
      </c>
      <c r="N115" s="79" t="s">
        <v>20</v>
      </c>
      <c r="O115" s="79"/>
      <c r="P115" s="79">
        <v>9706</v>
      </c>
      <c r="Q115" s="79" t="s">
        <v>21</v>
      </c>
      <c r="R115" s="79" t="s">
        <v>61</v>
      </c>
      <c r="S115" s="79">
        <v>123456789</v>
      </c>
    </row>
    <row r="116" spans="1:19" x14ac:dyDescent="0.25">
      <c r="A116" s="79">
        <v>12345678</v>
      </c>
      <c r="B116" s="79" t="s">
        <v>299</v>
      </c>
      <c r="C116" s="82" t="s">
        <v>300</v>
      </c>
      <c r="D116" s="79">
        <v>123456</v>
      </c>
      <c r="E116" s="81">
        <v>12334567000189</v>
      </c>
      <c r="F116" s="79" t="s">
        <v>60</v>
      </c>
      <c r="G116" s="79" t="s">
        <v>23</v>
      </c>
      <c r="H116" s="79">
        <v>47.8</v>
      </c>
      <c r="I116" s="79">
        <v>45.93</v>
      </c>
      <c r="J116" s="79">
        <v>1.87</v>
      </c>
      <c r="K116" s="79" t="s">
        <v>28</v>
      </c>
      <c r="L116" s="79" t="s">
        <v>19</v>
      </c>
      <c r="M116" s="79" t="s">
        <v>29</v>
      </c>
      <c r="N116" s="79" t="s">
        <v>20</v>
      </c>
      <c r="O116" s="79"/>
      <c r="P116" s="79">
        <v>1116</v>
      </c>
      <c r="Q116" s="79" t="s">
        <v>102</v>
      </c>
      <c r="R116" s="79" t="s">
        <v>61</v>
      </c>
      <c r="S116" s="79">
        <v>123456789</v>
      </c>
    </row>
    <row r="117" spans="1:19" x14ac:dyDescent="0.25">
      <c r="A117" s="79">
        <v>12345678</v>
      </c>
      <c r="B117" s="79" t="s">
        <v>301</v>
      </c>
      <c r="C117" s="82" t="s">
        <v>302</v>
      </c>
      <c r="D117" s="79">
        <v>123456</v>
      </c>
      <c r="E117" s="81">
        <v>12334567000189</v>
      </c>
      <c r="F117" s="79" t="s">
        <v>60</v>
      </c>
      <c r="G117" s="79" t="s">
        <v>23</v>
      </c>
      <c r="H117" s="79">
        <v>199.82</v>
      </c>
      <c r="I117" s="79">
        <v>195.99</v>
      </c>
      <c r="J117" s="79">
        <v>3.83</v>
      </c>
      <c r="K117" s="79" t="s">
        <v>25</v>
      </c>
      <c r="L117" s="79" t="s">
        <v>19</v>
      </c>
      <c r="M117" s="79" t="s">
        <v>26</v>
      </c>
      <c r="N117" s="79" t="s">
        <v>20</v>
      </c>
      <c r="O117" s="79"/>
      <c r="P117" s="79">
        <v>3650</v>
      </c>
      <c r="Q117" s="79" t="s">
        <v>21</v>
      </c>
      <c r="R117" s="79" t="s">
        <v>61</v>
      </c>
      <c r="S117" s="79">
        <v>123456789</v>
      </c>
    </row>
    <row r="118" spans="1:19" x14ac:dyDescent="0.25">
      <c r="A118" s="79">
        <v>12345678</v>
      </c>
      <c r="B118" s="79" t="s">
        <v>303</v>
      </c>
      <c r="C118" s="82" t="s">
        <v>304</v>
      </c>
      <c r="D118" s="79">
        <v>123456</v>
      </c>
      <c r="E118" s="81">
        <v>12334567000189</v>
      </c>
      <c r="F118" s="79" t="s">
        <v>60</v>
      </c>
      <c r="G118" s="79" t="s">
        <v>23</v>
      </c>
      <c r="H118" s="79">
        <v>242.25</v>
      </c>
      <c r="I118" s="79">
        <v>232.75</v>
      </c>
      <c r="J118" s="79">
        <v>9.5</v>
      </c>
      <c r="K118" s="79" t="s">
        <v>28</v>
      </c>
      <c r="L118" s="79" t="s">
        <v>19</v>
      </c>
      <c r="M118" s="79" t="s">
        <v>69</v>
      </c>
      <c r="N118" s="79" t="s">
        <v>20</v>
      </c>
      <c r="O118" s="79"/>
      <c r="P118" s="79">
        <v>5685</v>
      </c>
      <c r="Q118" s="79" t="s">
        <v>62</v>
      </c>
      <c r="R118" s="79" t="s">
        <v>61</v>
      </c>
      <c r="S118" s="79">
        <v>123456789</v>
      </c>
    </row>
    <row r="119" spans="1:19" x14ac:dyDescent="0.25">
      <c r="A119" s="79">
        <v>12345678</v>
      </c>
      <c r="B119" s="79" t="s">
        <v>305</v>
      </c>
      <c r="C119" s="82" t="s">
        <v>306</v>
      </c>
      <c r="D119" s="79">
        <v>123456</v>
      </c>
      <c r="E119" s="81">
        <v>12334567000189</v>
      </c>
      <c r="F119" s="79" t="s">
        <v>60</v>
      </c>
      <c r="G119" s="79" t="s">
        <v>23</v>
      </c>
      <c r="H119" s="79">
        <v>212.55</v>
      </c>
      <c r="I119" s="79">
        <v>204.21</v>
      </c>
      <c r="J119" s="79">
        <v>8.34</v>
      </c>
      <c r="K119" s="79" t="s">
        <v>28</v>
      </c>
      <c r="L119" s="79" t="s">
        <v>19</v>
      </c>
      <c r="M119" s="79" t="s">
        <v>69</v>
      </c>
      <c r="N119" s="79" t="s">
        <v>20</v>
      </c>
      <c r="O119" s="79"/>
      <c r="P119" s="79">
        <v>2744</v>
      </c>
      <c r="Q119" s="79" t="s">
        <v>21</v>
      </c>
      <c r="R119" s="79" t="s">
        <v>61</v>
      </c>
      <c r="S119" s="79">
        <v>123456789</v>
      </c>
    </row>
    <row r="120" spans="1:19" x14ac:dyDescent="0.25">
      <c r="A120" s="79">
        <v>12345678</v>
      </c>
      <c r="B120" s="79" t="s">
        <v>307</v>
      </c>
      <c r="C120" s="82" t="s">
        <v>308</v>
      </c>
      <c r="D120" s="79">
        <v>123456</v>
      </c>
      <c r="E120" s="81">
        <v>12334567000189</v>
      </c>
      <c r="F120" s="79" t="s">
        <v>60</v>
      </c>
      <c r="G120" s="79" t="s">
        <v>23</v>
      </c>
      <c r="H120" s="79">
        <v>43.93</v>
      </c>
      <c r="I120" s="79">
        <v>43.16</v>
      </c>
      <c r="J120" s="79">
        <v>0.77</v>
      </c>
      <c r="K120" s="79" t="s">
        <v>25</v>
      </c>
      <c r="L120" s="79" t="s">
        <v>19</v>
      </c>
      <c r="M120" s="79" t="s">
        <v>26</v>
      </c>
      <c r="N120" s="79" t="s">
        <v>20</v>
      </c>
      <c r="O120" s="79"/>
      <c r="P120" s="79">
        <v>5067</v>
      </c>
      <c r="Q120" s="79" t="s">
        <v>21</v>
      </c>
      <c r="R120" s="79" t="s">
        <v>61</v>
      </c>
      <c r="S120" s="79">
        <v>123456789</v>
      </c>
    </row>
    <row r="121" spans="1:19" x14ac:dyDescent="0.25">
      <c r="A121" s="79">
        <v>12345678</v>
      </c>
      <c r="B121" s="79" t="s">
        <v>309</v>
      </c>
      <c r="C121" s="82" t="s">
        <v>310</v>
      </c>
      <c r="D121" s="79">
        <v>123456</v>
      </c>
      <c r="E121" s="81">
        <v>12334567000189</v>
      </c>
      <c r="F121" s="79" t="s">
        <v>60</v>
      </c>
      <c r="G121" s="79" t="s">
        <v>23</v>
      </c>
      <c r="H121" s="79">
        <v>109.18</v>
      </c>
      <c r="I121" s="79">
        <v>105</v>
      </c>
      <c r="J121" s="79">
        <v>4.18</v>
      </c>
      <c r="K121" s="79" t="s">
        <v>28</v>
      </c>
      <c r="L121" s="79" t="s">
        <v>19</v>
      </c>
      <c r="M121" s="79" t="s">
        <v>27</v>
      </c>
      <c r="N121" s="79" t="s">
        <v>20</v>
      </c>
      <c r="O121" s="79"/>
      <c r="P121" s="79">
        <v>6167</v>
      </c>
      <c r="Q121" s="79" t="s">
        <v>21</v>
      </c>
      <c r="R121" s="79" t="s">
        <v>61</v>
      </c>
      <c r="S121" s="79">
        <v>123456789</v>
      </c>
    </row>
    <row r="122" spans="1:19" x14ac:dyDescent="0.25">
      <c r="A122" s="79">
        <v>12345678</v>
      </c>
      <c r="B122" s="79" t="s">
        <v>311</v>
      </c>
      <c r="C122" s="82" t="s">
        <v>312</v>
      </c>
      <c r="D122" s="79">
        <v>123456</v>
      </c>
      <c r="E122" s="81">
        <v>12334567000189</v>
      </c>
      <c r="F122" s="79" t="s">
        <v>60</v>
      </c>
      <c r="G122" s="79" t="s">
        <v>125</v>
      </c>
      <c r="H122" s="79">
        <v>821.26</v>
      </c>
      <c r="I122" s="79">
        <v>790.58</v>
      </c>
      <c r="J122" s="79">
        <v>30.68</v>
      </c>
      <c r="K122" s="79" t="s">
        <v>28</v>
      </c>
      <c r="L122" s="79" t="s">
        <v>19</v>
      </c>
      <c r="M122" s="79" t="s">
        <v>89</v>
      </c>
      <c r="N122" s="79" t="s">
        <v>20</v>
      </c>
      <c r="O122" s="79"/>
      <c r="P122" s="79">
        <v>6995</v>
      </c>
      <c r="Q122" s="79" t="s">
        <v>21</v>
      </c>
      <c r="R122" s="79" t="s">
        <v>61</v>
      </c>
      <c r="S122" s="79">
        <v>123456789</v>
      </c>
    </row>
    <row r="123" spans="1:19" x14ac:dyDescent="0.25">
      <c r="A123" s="79">
        <v>12345678</v>
      </c>
      <c r="B123" s="79" t="s">
        <v>313</v>
      </c>
      <c r="C123" s="82" t="s">
        <v>314</v>
      </c>
      <c r="D123" s="79">
        <v>123456</v>
      </c>
      <c r="E123" s="81">
        <v>12334567000189</v>
      </c>
      <c r="F123" s="79" t="s">
        <v>60</v>
      </c>
      <c r="G123" s="79" t="s">
        <v>23</v>
      </c>
      <c r="H123" s="79">
        <v>228.14</v>
      </c>
      <c r="I123" s="79">
        <v>220.05</v>
      </c>
      <c r="J123" s="79">
        <v>8.09</v>
      </c>
      <c r="K123" s="79" t="s">
        <v>28</v>
      </c>
      <c r="L123" s="79" t="s">
        <v>19</v>
      </c>
      <c r="M123" s="79" t="s">
        <v>24</v>
      </c>
      <c r="N123" s="79" t="s">
        <v>20</v>
      </c>
      <c r="O123" s="79"/>
      <c r="P123" s="79">
        <v>3676</v>
      </c>
      <c r="Q123" s="79" t="s">
        <v>21</v>
      </c>
      <c r="R123" s="79" t="s">
        <v>61</v>
      </c>
      <c r="S123" s="79">
        <v>123456789</v>
      </c>
    </row>
    <row r="124" spans="1:19" x14ac:dyDescent="0.25">
      <c r="A124" s="79">
        <v>12345678</v>
      </c>
      <c r="B124" s="79" t="s">
        <v>315</v>
      </c>
      <c r="C124" s="82" t="s">
        <v>316</v>
      </c>
      <c r="D124" s="79">
        <v>123456</v>
      </c>
      <c r="E124" s="81">
        <v>12334567000189</v>
      </c>
      <c r="F124" s="79" t="s">
        <v>60</v>
      </c>
      <c r="G124" s="79" t="s">
        <v>23</v>
      </c>
      <c r="H124" s="79">
        <v>192.66</v>
      </c>
      <c r="I124" s="79">
        <v>185.58</v>
      </c>
      <c r="J124" s="79">
        <v>7.08</v>
      </c>
      <c r="K124" s="79" t="s">
        <v>28</v>
      </c>
      <c r="L124" s="79" t="s">
        <v>19</v>
      </c>
      <c r="M124" s="79" t="s">
        <v>26</v>
      </c>
      <c r="N124" s="79" t="s">
        <v>20</v>
      </c>
      <c r="O124" s="79"/>
      <c r="P124" s="79">
        <v>7911</v>
      </c>
      <c r="Q124" s="79" t="s">
        <v>21</v>
      </c>
      <c r="R124" s="79" t="s">
        <v>61</v>
      </c>
      <c r="S124" s="79">
        <v>123456789</v>
      </c>
    </row>
    <row r="125" spans="1:19" x14ac:dyDescent="0.25">
      <c r="A125" s="79">
        <v>12345678</v>
      </c>
      <c r="B125" s="79" t="s">
        <v>317</v>
      </c>
      <c r="C125" s="82" t="s">
        <v>318</v>
      </c>
      <c r="D125" s="79">
        <v>123456</v>
      </c>
      <c r="E125" s="81">
        <v>12334567000189</v>
      </c>
      <c r="F125" s="79" t="s">
        <v>60</v>
      </c>
      <c r="G125" s="79" t="s">
        <v>23</v>
      </c>
      <c r="H125" s="79">
        <v>342.81</v>
      </c>
      <c r="I125" s="79">
        <v>337.85</v>
      </c>
      <c r="J125" s="79">
        <v>4.96</v>
      </c>
      <c r="K125" s="79" t="s">
        <v>25</v>
      </c>
      <c r="L125" s="79" t="s">
        <v>19</v>
      </c>
      <c r="M125" s="79" t="s">
        <v>27</v>
      </c>
      <c r="N125" s="79" t="s">
        <v>20</v>
      </c>
      <c r="O125" s="79"/>
      <c r="P125" s="79">
        <v>7504</v>
      </c>
      <c r="Q125" s="79" t="s">
        <v>21</v>
      </c>
      <c r="R125" s="79" t="s">
        <v>61</v>
      </c>
      <c r="S125" s="79">
        <v>123456789</v>
      </c>
    </row>
    <row r="126" spans="1:19" x14ac:dyDescent="0.25">
      <c r="A126" s="79">
        <v>12345678</v>
      </c>
      <c r="B126" s="79" t="s">
        <v>319</v>
      </c>
      <c r="C126" s="82" t="s">
        <v>320</v>
      </c>
      <c r="D126" s="79">
        <v>123456</v>
      </c>
      <c r="E126" s="81">
        <v>12334567000189</v>
      </c>
      <c r="F126" s="79" t="s">
        <v>60</v>
      </c>
      <c r="G126" s="79" t="s">
        <v>125</v>
      </c>
      <c r="H126" s="79">
        <v>189.25</v>
      </c>
      <c r="I126" s="79">
        <v>183.33</v>
      </c>
      <c r="J126" s="79">
        <v>5.92</v>
      </c>
      <c r="K126" s="79" t="s">
        <v>28</v>
      </c>
      <c r="L126" s="79" t="s">
        <v>19</v>
      </c>
      <c r="M126" s="79" t="s">
        <v>24</v>
      </c>
      <c r="N126" s="79" t="s">
        <v>20</v>
      </c>
      <c r="O126" s="79"/>
      <c r="P126" s="79">
        <v>6688</v>
      </c>
      <c r="Q126" s="79" t="s">
        <v>21</v>
      </c>
      <c r="R126" s="79" t="s">
        <v>61</v>
      </c>
      <c r="S126" s="79">
        <v>123456789</v>
      </c>
    </row>
    <row r="127" spans="1:19" x14ac:dyDescent="0.25">
      <c r="A127" s="79">
        <v>12345678</v>
      </c>
      <c r="B127" s="79" t="s">
        <v>321</v>
      </c>
      <c r="C127" s="82" t="s">
        <v>322</v>
      </c>
      <c r="D127" s="79">
        <v>123456</v>
      </c>
      <c r="E127" s="81">
        <v>12334567000189</v>
      </c>
      <c r="F127" s="79" t="s">
        <v>60</v>
      </c>
      <c r="G127" s="79" t="s">
        <v>23</v>
      </c>
      <c r="H127" s="79">
        <v>99.28</v>
      </c>
      <c r="I127" s="79">
        <v>95.69</v>
      </c>
      <c r="J127" s="79">
        <v>3.59</v>
      </c>
      <c r="K127" s="79" t="s">
        <v>28</v>
      </c>
      <c r="L127" s="79" t="s">
        <v>19</v>
      </c>
      <c r="M127" s="79" t="s">
        <v>27</v>
      </c>
      <c r="N127" s="79" t="s">
        <v>20</v>
      </c>
      <c r="O127" s="79"/>
      <c r="P127" s="79">
        <v>4924</v>
      </c>
      <c r="Q127" s="79" t="s">
        <v>21</v>
      </c>
      <c r="R127" s="79" t="s">
        <v>61</v>
      </c>
      <c r="S127" s="79">
        <v>123456789</v>
      </c>
    </row>
    <row r="128" spans="1:19" x14ac:dyDescent="0.25">
      <c r="A128" s="79">
        <v>12345678</v>
      </c>
      <c r="B128" s="79" t="s">
        <v>323</v>
      </c>
      <c r="C128" s="82" t="s">
        <v>324</v>
      </c>
      <c r="D128" s="79">
        <v>123456</v>
      </c>
      <c r="E128" s="81">
        <v>12334567000189</v>
      </c>
      <c r="F128" s="79" t="s">
        <v>60</v>
      </c>
      <c r="G128" s="79" t="s">
        <v>23</v>
      </c>
      <c r="H128" s="79">
        <v>211.24</v>
      </c>
      <c r="I128" s="79">
        <v>204.04</v>
      </c>
      <c r="J128" s="79">
        <v>7.2</v>
      </c>
      <c r="K128" s="79" t="s">
        <v>28</v>
      </c>
      <c r="L128" s="79" t="s">
        <v>19</v>
      </c>
      <c r="M128" s="79" t="s">
        <v>69</v>
      </c>
      <c r="N128" s="79" t="s">
        <v>20</v>
      </c>
      <c r="O128" s="79"/>
      <c r="P128" s="79">
        <v>7084</v>
      </c>
      <c r="Q128" s="79" t="s">
        <v>62</v>
      </c>
      <c r="R128" s="79" t="s">
        <v>61</v>
      </c>
      <c r="S128" s="79">
        <v>123456789</v>
      </c>
    </row>
    <row r="129" spans="1:19" x14ac:dyDescent="0.25">
      <c r="A129" s="79">
        <v>12345678</v>
      </c>
      <c r="B129" s="79" t="s">
        <v>325</v>
      </c>
      <c r="C129" s="82" t="s">
        <v>326</v>
      </c>
      <c r="D129" s="79">
        <v>123456</v>
      </c>
      <c r="E129" s="81">
        <v>12334567000189</v>
      </c>
      <c r="F129" s="79" t="s">
        <v>60</v>
      </c>
      <c r="G129" s="79" t="s">
        <v>23</v>
      </c>
      <c r="H129" s="79">
        <v>254.63</v>
      </c>
      <c r="I129" s="79">
        <v>243.36</v>
      </c>
      <c r="J129" s="79">
        <v>11.27</v>
      </c>
      <c r="K129" s="79" t="s">
        <v>28</v>
      </c>
      <c r="L129" s="79" t="s">
        <v>19</v>
      </c>
      <c r="M129" s="79" t="s">
        <v>29</v>
      </c>
      <c r="N129" s="79" t="s">
        <v>20</v>
      </c>
      <c r="O129" s="79"/>
      <c r="P129" s="79">
        <v>9534</v>
      </c>
      <c r="Q129" s="79" t="s">
        <v>21</v>
      </c>
      <c r="R129" s="79" t="s">
        <v>61</v>
      </c>
      <c r="S129" s="79">
        <v>123456789</v>
      </c>
    </row>
    <row r="130" spans="1:19" x14ac:dyDescent="0.25">
      <c r="A130" s="79">
        <v>12345678</v>
      </c>
      <c r="B130" s="79" t="s">
        <v>327</v>
      </c>
      <c r="C130" s="82" t="s">
        <v>328</v>
      </c>
      <c r="D130" s="79">
        <v>123456</v>
      </c>
      <c r="E130" s="81">
        <v>12334567000189</v>
      </c>
      <c r="F130" s="79" t="s">
        <v>60</v>
      </c>
      <c r="G130" s="79" t="s">
        <v>23</v>
      </c>
      <c r="H130" s="79">
        <v>114.52</v>
      </c>
      <c r="I130" s="79">
        <v>110.99</v>
      </c>
      <c r="J130" s="79">
        <v>3.53</v>
      </c>
      <c r="K130" s="79" t="s">
        <v>28</v>
      </c>
      <c r="L130" s="79" t="s">
        <v>19</v>
      </c>
      <c r="M130" s="79" t="s">
        <v>69</v>
      </c>
      <c r="N130" s="79" t="s">
        <v>20</v>
      </c>
      <c r="O130" s="79"/>
      <c r="P130" s="79">
        <v>3061</v>
      </c>
      <c r="Q130" s="79" t="s">
        <v>21</v>
      </c>
      <c r="R130" s="79" t="s">
        <v>61</v>
      </c>
      <c r="S130" s="79">
        <v>123456789</v>
      </c>
    </row>
    <row r="131" spans="1:19" x14ac:dyDescent="0.25">
      <c r="A131" s="79">
        <v>12345678</v>
      </c>
      <c r="B131" s="79" t="s">
        <v>329</v>
      </c>
      <c r="C131" s="82" t="s">
        <v>330</v>
      </c>
      <c r="D131" s="79">
        <v>123456</v>
      </c>
      <c r="E131" s="81">
        <v>12334567000189</v>
      </c>
      <c r="F131" s="79" t="s">
        <v>60</v>
      </c>
      <c r="G131" s="79" t="s">
        <v>23</v>
      </c>
      <c r="H131" s="79">
        <v>196.95</v>
      </c>
      <c r="I131" s="79">
        <v>190.02</v>
      </c>
      <c r="J131" s="79">
        <v>6.93</v>
      </c>
      <c r="K131" s="79" t="s">
        <v>28</v>
      </c>
      <c r="L131" s="79" t="s">
        <v>19</v>
      </c>
      <c r="M131" s="79" t="s">
        <v>24</v>
      </c>
      <c r="N131" s="79" t="s">
        <v>20</v>
      </c>
      <c r="O131" s="79"/>
      <c r="P131" s="79">
        <v>4039</v>
      </c>
      <c r="Q131" s="79" t="s">
        <v>62</v>
      </c>
      <c r="R131" s="79" t="s">
        <v>61</v>
      </c>
      <c r="S131" s="79">
        <v>123456789</v>
      </c>
    </row>
    <row r="132" spans="1:19" x14ac:dyDescent="0.25">
      <c r="A132" s="79">
        <v>12345678</v>
      </c>
      <c r="B132" s="79" t="s">
        <v>331</v>
      </c>
      <c r="C132" s="82" t="s">
        <v>332</v>
      </c>
      <c r="D132" s="79">
        <v>123456</v>
      </c>
      <c r="E132" s="81">
        <v>12334567000189</v>
      </c>
      <c r="F132" s="79" t="s">
        <v>60</v>
      </c>
      <c r="G132" s="79" t="s">
        <v>23</v>
      </c>
      <c r="H132" s="79">
        <v>189.86</v>
      </c>
      <c r="I132" s="79">
        <v>186.84</v>
      </c>
      <c r="J132" s="79">
        <v>3.02</v>
      </c>
      <c r="K132" s="79" t="s">
        <v>25</v>
      </c>
      <c r="L132" s="79" t="s">
        <v>19</v>
      </c>
      <c r="M132" s="79" t="s">
        <v>29</v>
      </c>
      <c r="N132" s="79" t="s">
        <v>20</v>
      </c>
      <c r="O132" s="79"/>
      <c r="P132" s="79">
        <v>7002</v>
      </c>
      <c r="Q132" s="79" t="s">
        <v>21</v>
      </c>
      <c r="R132" s="79" t="s">
        <v>61</v>
      </c>
      <c r="S132" s="79">
        <v>123456789</v>
      </c>
    </row>
    <row r="133" spans="1:19" x14ac:dyDescent="0.25">
      <c r="A133" s="79">
        <v>12345678</v>
      </c>
      <c r="B133" s="79" t="s">
        <v>333</v>
      </c>
      <c r="C133" s="82" t="s">
        <v>334</v>
      </c>
      <c r="D133" s="79">
        <v>123456</v>
      </c>
      <c r="E133" s="81">
        <v>12334567000189</v>
      </c>
      <c r="F133" s="79" t="s">
        <v>60</v>
      </c>
      <c r="G133" s="79" t="s">
        <v>23</v>
      </c>
      <c r="H133" s="79">
        <v>277.10000000000002</v>
      </c>
      <c r="I133" s="79">
        <v>266.06</v>
      </c>
      <c r="J133" s="79">
        <v>11.04</v>
      </c>
      <c r="K133" s="79" t="s">
        <v>28</v>
      </c>
      <c r="L133" s="79" t="s">
        <v>19</v>
      </c>
      <c r="M133" s="79" t="s">
        <v>29</v>
      </c>
      <c r="N133" s="79" t="s">
        <v>20</v>
      </c>
      <c r="O133" s="79"/>
      <c r="P133" s="79">
        <v>6864</v>
      </c>
      <c r="Q133" s="79" t="s">
        <v>21</v>
      </c>
      <c r="R133" s="79" t="s">
        <v>61</v>
      </c>
      <c r="S133" s="79">
        <v>123456789</v>
      </c>
    </row>
    <row r="134" spans="1:19" x14ac:dyDescent="0.25">
      <c r="A134" s="79">
        <v>12345678</v>
      </c>
      <c r="B134" s="79" t="s">
        <v>335</v>
      </c>
      <c r="C134" s="82" t="s">
        <v>336</v>
      </c>
      <c r="D134" s="79">
        <v>123456</v>
      </c>
      <c r="E134" s="81">
        <v>12334567000189</v>
      </c>
      <c r="F134" s="79" t="s">
        <v>60</v>
      </c>
      <c r="G134" s="79" t="s">
        <v>23</v>
      </c>
      <c r="H134" s="79">
        <v>40.19</v>
      </c>
      <c r="I134" s="79">
        <v>39.380000000000003</v>
      </c>
      <c r="J134" s="79">
        <v>0.81</v>
      </c>
      <c r="K134" s="79" t="s">
        <v>25</v>
      </c>
      <c r="L134" s="79" t="s">
        <v>19</v>
      </c>
      <c r="M134" s="79" t="s">
        <v>89</v>
      </c>
      <c r="N134" s="79" t="s">
        <v>20</v>
      </c>
      <c r="O134" s="79"/>
      <c r="P134" s="79">
        <v>1267</v>
      </c>
      <c r="Q134" s="79" t="s">
        <v>21</v>
      </c>
      <c r="R134" s="79" t="s">
        <v>61</v>
      </c>
      <c r="S134" s="79">
        <v>123456789</v>
      </c>
    </row>
    <row r="135" spans="1:19" x14ac:dyDescent="0.25">
      <c r="A135" s="79">
        <v>12345678</v>
      </c>
      <c r="B135" s="79" t="s">
        <v>337</v>
      </c>
      <c r="C135" s="82" t="s">
        <v>338</v>
      </c>
      <c r="D135" s="79">
        <v>123456</v>
      </c>
      <c r="E135" s="81">
        <v>12334567000189</v>
      </c>
      <c r="F135" s="79" t="s">
        <v>60</v>
      </c>
      <c r="G135" s="79" t="s">
        <v>125</v>
      </c>
      <c r="H135" s="79">
        <v>97.1</v>
      </c>
      <c r="I135" s="79">
        <v>93.86</v>
      </c>
      <c r="J135" s="79">
        <v>3.24</v>
      </c>
      <c r="K135" s="79" t="s">
        <v>28</v>
      </c>
      <c r="L135" s="79" t="s">
        <v>19</v>
      </c>
      <c r="M135" s="79" t="s">
        <v>26</v>
      </c>
      <c r="N135" s="79" t="s">
        <v>20</v>
      </c>
      <c r="O135" s="79"/>
      <c r="P135" s="79">
        <v>2562</v>
      </c>
      <c r="Q135" s="79" t="s">
        <v>21</v>
      </c>
      <c r="R135" s="79" t="s">
        <v>61</v>
      </c>
      <c r="S135" s="79">
        <v>123456789</v>
      </c>
    </row>
    <row r="136" spans="1:19" x14ac:dyDescent="0.25">
      <c r="A136" s="79">
        <v>12345678</v>
      </c>
      <c r="B136" s="79" t="s">
        <v>339</v>
      </c>
      <c r="C136" s="82" t="s">
        <v>340</v>
      </c>
      <c r="D136" s="79">
        <v>123456</v>
      </c>
      <c r="E136" s="81">
        <v>12334567000189</v>
      </c>
      <c r="F136" s="79" t="s">
        <v>60</v>
      </c>
      <c r="G136" s="79" t="s">
        <v>23</v>
      </c>
      <c r="H136" s="79">
        <v>177.12</v>
      </c>
      <c r="I136" s="79">
        <v>174.69</v>
      </c>
      <c r="J136" s="79">
        <v>2.4300000000000002</v>
      </c>
      <c r="K136" s="79" t="s">
        <v>25</v>
      </c>
      <c r="L136" s="79" t="s">
        <v>19</v>
      </c>
      <c r="M136" s="79" t="s">
        <v>29</v>
      </c>
      <c r="N136" s="79" t="s">
        <v>20</v>
      </c>
      <c r="O136" s="79"/>
      <c r="P136" s="79">
        <v>2475</v>
      </c>
      <c r="Q136" s="79" t="s">
        <v>21</v>
      </c>
      <c r="R136" s="79" t="s">
        <v>61</v>
      </c>
      <c r="S136" s="79">
        <v>123456789</v>
      </c>
    </row>
    <row r="137" spans="1:19" x14ac:dyDescent="0.25">
      <c r="A137" s="79">
        <v>12345678</v>
      </c>
      <c r="B137" s="79" t="s">
        <v>341</v>
      </c>
      <c r="C137" s="82" t="s">
        <v>342</v>
      </c>
      <c r="D137" s="79">
        <v>123456</v>
      </c>
      <c r="E137" s="81">
        <v>12334567000189</v>
      </c>
      <c r="F137" s="79" t="s">
        <v>60</v>
      </c>
      <c r="G137" s="79" t="s">
        <v>23</v>
      </c>
      <c r="H137" s="79">
        <v>48.33</v>
      </c>
      <c r="I137" s="79">
        <v>46.82</v>
      </c>
      <c r="J137" s="79">
        <v>1.51</v>
      </c>
      <c r="K137" s="79" t="s">
        <v>28</v>
      </c>
      <c r="L137" s="79" t="s">
        <v>19</v>
      </c>
      <c r="M137" s="79" t="s">
        <v>89</v>
      </c>
      <c r="N137" s="79" t="s">
        <v>20</v>
      </c>
      <c r="O137" s="79"/>
      <c r="P137" s="79">
        <v>5994</v>
      </c>
      <c r="Q137" s="79" t="s">
        <v>62</v>
      </c>
      <c r="R137" s="79" t="s">
        <v>61</v>
      </c>
      <c r="S137" s="79">
        <v>123456789</v>
      </c>
    </row>
    <row r="138" spans="1:19" x14ac:dyDescent="0.25">
      <c r="A138" s="79">
        <v>12345678</v>
      </c>
      <c r="B138" s="79" t="s">
        <v>343</v>
      </c>
      <c r="C138" s="82" t="s">
        <v>344</v>
      </c>
      <c r="D138" s="79">
        <v>123456</v>
      </c>
      <c r="E138" s="81">
        <v>12334567000189</v>
      </c>
      <c r="F138" s="79" t="s">
        <v>60</v>
      </c>
      <c r="G138" s="79" t="s">
        <v>23</v>
      </c>
      <c r="H138" s="79">
        <v>781.68</v>
      </c>
      <c r="I138" s="79">
        <v>750.92</v>
      </c>
      <c r="J138" s="79">
        <v>30.76</v>
      </c>
      <c r="K138" s="79" t="s">
        <v>28</v>
      </c>
      <c r="L138" s="79" t="s">
        <v>19</v>
      </c>
      <c r="M138" s="79" t="s">
        <v>24</v>
      </c>
      <c r="N138" s="79" t="s">
        <v>20</v>
      </c>
      <c r="O138" s="79"/>
      <c r="P138" s="79">
        <v>1301</v>
      </c>
      <c r="Q138" s="79" t="s">
        <v>21</v>
      </c>
      <c r="R138" s="79" t="s">
        <v>61</v>
      </c>
      <c r="S138" s="79">
        <v>123456789</v>
      </c>
    </row>
    <row r="139" spans="1:19" x14ac:dyDescent="0.25">
      <c r="A139" s="79">
        <v>12345678</v>
      </c>
      <c r="B139" s="79" t="s">
        <v>345</v>
      </c>
      <c r="C139" s="82" t="s">
        <v>344</v>
      </c>
      <c r="D139" s="79">
        <v>123456</v>
      </c>
      <c r="E139" s="81">
        <v>12334567000189</v>
      </c>
      <c r="F139" s="79" t="s">
        <v>60</v>
      </c>
      <c r="G139" s="79" t="s">
        <v>23</v>
      </c>
      <c r="H139" s="79">
        <v>84.08</v>
      </c>
      <c r="I139" s="79">
        <v>81.48</v>
      </c>
      <c r="J139" s="79">
        <v>2.6</v>
      </c>
      <c r="K139" s="79" t="s">
        <v>28</v>
      </c>
      <c r="L139" s="79" t="s">
        <v>19</v>
      </c>
      <c r="M139" s="79" t="s">
        <v>27</v>
      </c>
      <c r="N139" s="79" t="s">
        <v>20</v>
      </c>
      <c r="O139" s="79"/>
      <c r="P139" s="79">
        <v>5053</v>
      </c>
      <c r="Q139" s="79" t="s">
        <v>62</v>
      </c>
      <c r="R139" s="79" t="s">
        <v>61</v>
      </c>
      <c r="S139" s="79">
        <v>123456789</v>
      </c>
    </row>
    <row r="140" spans="1:19" x14ac:dyDescent="0.25">
      <c r="A140" s="79">
        <v>12345678</v>
      </c>
      <c r="B140" s="79" t="s">
        <v>346</v>
      </c>
      <c r="C140" s="82" t="s">
        <v>347</v>
      </c>
      <c r="D140" s="79">
        <v>123456</v>
      </c>
      <c r="E140" s="81">
        <v>12334567000189</v>
      </c>
      <c r="F140" s="79" t="s">
        <v>60</v>
      </c>
      <c r="G140" s="79" t="s">
        <v>23</v>
      </c>
      <c r="H140" s="79">
        <v>225.87</v>
      </c>
      <c r="I140" s="79">
        <v>224.05</v>
      </c>
      <c r="J140" s="79">
        <v>1.82</v>
      </c>
      <c r="K140" s="79" t="s">
        <v>22</v>
      </c>
      <c r="L140" s="79" t="s">
        <v>19</v>
      </c>
      <c r="M140" s="79" t="s">
        <v>19</v>
      </c>
      <c r="N140" s="79" t="s">
        <v>20</v>
      </c>
      <c r="O140" s="79"/>
      <c r="P140" s="79">
        <v>7987</v>
      </c>
      <c r="Q140" s="79" t="s">
        <v>21</v>
      </c>
      <c r="R140" s="79" t="s">
        <v>61</v>
      </c>
      <c r="S140" s="79">
        <v>123456789</v>
      </c>
    </row>
    <row r="141" spans="1:19" x14ac:dyDescent="0.25">
      <c r="A141" s="79">
        <v>12345678</v>
      </c>
      <c r="B141" s="79" t="s">
        <v>348</v>
      </c>
      <c r="C141" s="82" t="s">
        <v>349</v>
      </c>
      <c r="D141" s="79">
        <v>123456</v>
      </c>
      <c r="E141" s="81">
        <v>12334567000189</v>
      </c>
      <c r="F141" s="79" t="s">
        <v>60</v>
      </c>
      <c r="G141" s="79" t="s">
        <v>23</v>
      </c>
      <c r="H141" s="79">
        <v>167.25</v>
      </c>
      <c r="I141" s="79">
        <v>165.77</v>
      </c>
      <c r="J141" s="79">
        <v>1.48</v>
      </c>
      <c r="K141" s="79" t="s">
        <v>22</v>
      </c>
      <c r="L141" s="79" t="s">
        <v>19</v>
      </c>
      <c r="M141" s="79" t="s">
        <v>19</v>
      </c>
      <c r="N141" s="79" t="s">
        <v>20</v>
      </c>
      <c r="O141" s="79"/>
      <c r="P141" s="79">
        <v>8258</v>
      </c>
      <c r="Q141" s="79" t="s">
        <v>21</v>
      </c>
      <c r="R141" s="79" t="s">
        <v>61</v>
      </c>
      <c r="S141" s="79">
        <v>123456789</v>
      </c>
    </row>
    <row r="142" spans="1:19" x14ac:dyDescent="0.25">
      <c r="A142" s="79">
        <v>12345678</v>
      </c>
      <c r="B142" s="79" t="s">
        <v>350</v>
      </c>
      <c r="C142" s="82" t="s">
        <v>351</v>
      </c>
      <c r="D142" s="79">
        <v>123456</v>
      </c>
      <c r="E142" s="81">
        <v>12334567000189</v>
      </c>
      <c r="F142" s="79" t="s">
        <v>60</v>
      </c>
      <c r="G142" s="79" t="s">
        <v>23</v>
      </c>
      <c r="H142" s="79">
        <v>224.12</v>
      </c>
      <c r="I142" s="79">
        <v>220.9</v>
      </c>
      <c r="J142" s="79">
        <v>3.22</v>
      </c>
      <c r="K142" s="79" t="s">
        <v>25</v>
      </c>
      <c r="L142" s="79" t="s">
        <v>19</v>
      </c>
      <c r="M142" s="79" t="s">
        <v>27</v>
      </c>
      <c r="N142" s="79" t="s">
        <v>20</v>
      </c>
      <c r="O142" s="79"/>
      <c r="P142" s="79">
        <v>7767</v>
      </c>
      <c r="Q142" s="79" t="s">
        <v>21</v>
      </c>
      <c r="R142" s="79" t="s">
        <v>61</v>
      </c>
      <c r="S142" s="79">
        <v>123456789</v>
      </c>
    </row>
    <row r="143" spans="1:19" x14ac:dyDescent="0.25">
      <c r="A143" s="79">
        <v>12345678</v>
      </c>
      <c r="B143" s="79" t="s">
        <v>352</v>
      </c>
      <c r="C143" s="82" t="s">
        <v>353</v>
      </c>
      <c r="D143" s="79">
        <v>123456</v>
      </c>
      <c r="E143" s="81">
        <v>12334567000189</v>
      </c>
      <c r="F143" s="79" t="s">
        <v>60</v>
      </c>
      <c r="G143" s="79" t="s">
        <v>23</v>
      </c>
      <c r="H143" s="79">
        <v>69.319999999999993</v>
      </c>
      <c r="I143" s="79">
        <v>67.06</v>
      </c>
      <c r="J143" s="79">
        <v>2.2599999999999998</v>
      </c>
      <c r="K143" s="79" t="s">
        <v>28</v>
      </c>
      <c r="L143" s="79" t="s">
        <v>19</v>
      </c>
      <c r="M143" s="79" t="s">
        <v>24</v>
      </c>
      <c r="N143" s="79" t="s">
        <v>20</v>
      </c>
      <c r="O143" s="79"/>
      <c r="P143" s="79">
        <v>9456</v>
      </c>
      <c r="Q143" s="79" t="s">
        <v>102</v>
      </c>
      <c r="R143" s="79" t="s">
        <v>61</v>
      </c>
      <c r="S143" s="79">
        <v>123456789</v>
      </c>
    </row>
    <row r="144" spans="1:19" x14ac:dyDescent="0.25">
      <c r="A144" s="79">
        <v>12345678</v>
      </c>
      <c r="B144" s="79" t="s">
        <v>354</v>
      </c>
      <c r="C144" s="82" t="s">
        <v>355</v>
      </c>
      <c r="D144" s="79">
        <v>123456</v>
      </c>
      <c r="E144" s="81">
        <v>12334567000189</v>
      </c>
      <c r="F144" s="79" t="s">
        <v>60</v>
      </c>
      <c r="G144" s="79" t="s">
        <v>125</v>
      </c>
      <c r="H144" s="79">
        <v>137.47</v>
      </c>
      <c r="I144" s="79">
        <v>134.59</v>
      </c>
      <c r="J144" s="79">
        <v>2.88</v>
      </c>
      <c r="K144" s="79" t="s">
        <v>25</v>
      </c>
      <c r="L144" s="79" t="s">
        <v>19</v>
      </c>
      <c r="M144" s="79" t="s">
        <v>26</v>
      </c>
      <c r="N144" s="79" t="s">
        <v>20</v>
      </c>
      <c r="O144" s="79"/>
      <c r="P144" s="79">
        <v>3686</v>
      </c>
      <c r="Q144" s="79" t="s">
        <v>21</v>
      </c>
      <c r="R144" s="79" t="s">
        <v>61</v>
      </c>
      <c r="S144" s="79">
        <v>123456789</v>
      </c>
    </row>
    <row r="145" spans="1:19" x14ac:dyDescent="0.25">
      <c r="A145" s="79">
        <v>12345678</v>
      </c>
      <c r="B145" s="79" t="s">
        <v>356</v>
      </c>
      <c r="C145" s="82" t="s">
        <v>357</v>
      </c>
      <c r="D145" s="79">
        <v>123456</v>
      </c>
      <c r="E145" s="81">
        <v>12334567000189</v>
      </c>
      <c r="F145" s="79" t="s">
        <v>60</v>
      </c>
      <c r="G145" s="79" t="s">
        <v>23</v>
      </c>
      <c r="H145" s="79">
        <v>140.33000000000001</v>
      </c>
      <c r="I145" s="79">
        <v>138.05000000000001</v>
      </c>
      <c r="J145" s="79">
        <v>2.2799999999999998</v>
      </c>
      <c r="K145" s="79" t="s">
        <v>25</v>
      </c>
      <c r="L145" s="79" t="s">
        <v>19</v>
      </c>
      <c r="M145" s="79" t="s">
        <v>89</v>
      </c>
      <c r="N145" s="79" t="s">
        <v>20</v>
      </c>
      <c r="O145" s="79"/>
      <c r="P145" s="79">
        <v>1200</v>
      </c>
      <c r="Q145" s="79" t="s">
        <v>21</v>
      </c>
      <c r="R145" s="79" t="s">
        <v>61</v>
      </c>
      <c r="S145" s="79">
        <v>123456789</v>
      </c>
    </row>
    <row r="146" spans="1:19" x14ac:dyDescent="0.25">
      <c r="A146" s="79">
        <v>12345678</v>
      </c>
      <c r="B146" s="79" t="s">
        <v>358</v>
      </c>
      <c r="C146" s="82" t="s">
        <v>359</v>
      </c>
      <c r="D146" s="79">
        <v>123456</v>
      </c>
      <c r="E146" s="81">
        <v>12334567000189</v>
      </c>
      <c r="F146" s="79" t="s">
        <v>60</v>
      </c>
      <c r="G146" s="79" t="s">
        <v>23</v>
      </c>
      <c r="H146" s="79">
        <v>11.67</v>
      </c>
      <c r="I146" s="79">
        <v>11.17</v>
      </c>
      <c r="J146" s="79">
        <v>0.5</v>
      </c>
      <c r="K146" s="79" t="s">
        <v>28</v>
      </c>
      <c r="L146" s="79" t="s">
        <v>19</v>
      </c>
      <c r="M146" s="79" t="s">
        <v>27</v>
      </c>
      <c r="N146" s="79" t="s">
        <v>20</v>
      </c>
      <c r="O146" s="79"/>
      <c r="P146" s="79">
        <v>3906</v>
      </c>
      <c r="Q146" s="79" t="s">
        <v>21</v>
      </c>
      <c r="R146" s="79" t="s">
        <v>61</v>
      </c>
      <c r="S146" s="79">
        <v>123456789</v>
      </c>
    </row>
    <row r="147" spans="1:19" x14ac:dyDescent="0.25">
      <c r="A147" s="79">
        <v>12345678</v>
      </c>
      <c r="B147" s="79" t="s">
        <v>360</v>
      </c>
      <c r="C147" s="82" t="s">
        <v>361</v>
      </c>
      <c r="D147" s="79">
        <v>123456</v>
      </c>
      <c r="E147" s="81">
        <v>12334567000189</v>
      </c>
      <c r="F147" s="79" t="s">
        <v>60</v>
      </c>
      <c r="G147" s="79" t="s">
        <v>23</v>
      </c>
      <c r="H147" s="79">
        <v>20.39</v>
      </c>
      <c r="I147" s="79">
        <v>20.16</v>
      </c>
      <c r="J147" s="79">
        <v>0.23</v>
      </c>
      <c r="K147" s="79" t="s">
        <v>22</v>
      </c>
      <c r="L147" s="79" t="s">
        <v>19</v>
      </c>
      <c r="M147" s="79" t="s">
        <v>19</v>
      </c>
      <c r="N147" s="79" t="s">
        <v>20</v>
      </c>
      <c r="O147" s="79"/>
      <c r="P147" s="79">
        <v>5254</v>
      </c>
      <c r="Q147" s="79" t="s">
        <v>21</v>
      </c>
      <c r="R147" s="79" t="s">
        <v>61</v>
      </c>
      <c r="S147" s="79">
        <v>123456789</v>
      </c>
    </row>
    <row r="148" spans="1:19" x14ac:dyDescent="0.25">
      <c r="A148" s="79">
        <v>12345678</v>
      </c>
      <c r="B148" s="79" t="s">
        <v>362</v>
      </c>
      <c r="C148" s="82" t="s">
        <v>363</v>
      </c>
      <c r="D148" s="79">
        <v>123456</v>
      </c>
      <c r="E148" s="81">
        <v>12334567000189</v>
      </c>
      <c r="F148" s="79" t="s">
        <v>60</v>
      </c>
      <c r="G148" s="79" t="s">
        <v>125</v>
      </c>
      <c r="H148" s="79">
        <v>47.62</v>
      </c>
      <c r="I148" s="79">
        <v>45.79</v>
      </c>
      <c r="J148" s="79">
        <v>1.83</v>
      </c>
      <c r="K148" s="79" t="s">
        <v>28</v>
      </c>
      <c r="L148" s="79" t="s">
        <v>19</v>
      </c>
      <c r="M148" s="79" t="s">
        <v>89</v>
      </c>
      <c r="N148" s="79" t="s">
        <v>20</v>
      </c>
      <c r="O148" s="79"/>
      <c r="P148" s="79">
        <v>2865</v>
      </c>
      <c r="Q148" s="79" t="s">
        <v>62</v>
      </c>
      <c r="R148" s="79" t="s">
        <v>61</v>
      </c>
      <c r="S148" s="79">
        <v>123456789</v>
      </c>
    </row>
    <row r="149" spans="1:19" x14ac:dyDescent="0.25">
      <c r="A149" s="79">
        <v>12345678</v>
      </c>
      <c r="B149" s="79" t="s">
        <v>364</v>
      </c>
      <c r="C149" s="82" t="s">
        <v>365</v>
      </c>
      <c r="D149" s="79">
        <v>123456</v>
      </c>
      <c r="E149" s="81">
        <v>12334567000189</v>
      </c>
      <c r="F149" s="79" t="s">
        <v>60</v>
      </c>
      <c r="G149" s="79" t="s">
        <v>23</v>
      </c>
      <c r="H149" s="79">
        <v>188.64</v>
      </c>
      <c r="I149" s="79">
        <v>186.14</v>
      </c>
      <c r="J149" s="79">
        <v>2.5</v>
      </c>
      <c r="K149" s="79" t="s">
        <v>25</v>
      </c>
      <c r="L149" s="79" t="s">
        <v>19</v>
      </c>
      <c r="M149" s="79" t="s">
        <v>27</v>
      </c>
      <c r="N149" s="79" t="s">
        <v>20</v>
      </c>
      <c r="O149" s="79"/>
      <c r="P149" s="79">
        <v>2084</v>
      </c>
      <c r="Q149" s="79" t="s">
        <v>21</v>
      </c>
      <c r="R149" s="79" t="s">
        <v>61</v>
      </c>
      <c r="S149" s="79">
        <v>123456789</v>
      </c>
    </row>
    <row r="150" spans="1:19" x14ac:dyDescent="0.25">
      <c r="A150" s="79">
        <v>12345678</v>
      </c>
      <c r="B150" s="79" t="s">
        <v>366</v>
      </c>
      <c r="C150" s="82" t="s">
        <v>367</v>
      </c>
      <c r="D150" s="79">
        <v>123456</v>
      </c>
      <c r="E150" s="81">
        <v>12334567000189</v>
      </c>
      <c r="F150" s="79" t="s">
        <v>60</v>
      </c>
      <c r="G150" s="79" t="s">
        <v>23</v>
      </c>
      <c r="H150" s="79">
        <v>295.25</v>
      </c>
      <c r="I150" s="79">
        <v>292.14999999999998</v>
      </c>
      <c r="J150" s="79">
        <v>3.1</v>
      </c>
      <c r="K150" s="79" t="s">
        <v>22</v>
      </c>
      <c r="L150" s="79" t="s">
        <v>19</v>
      </c>
      <c r="M150" s="79" t="s">
        <v>19</v>
      </c>
      <c r="N150" s="79" t="s">
        <v>20</v>
      </c>
      <c r="O150" s="79"/>
      <c r="P150" s="79">
        <v>4116</v>
      </c>
      <c r="Q150" s="79" t="s">
        <v>21</v>
      </c>
      <c r="R150" s="79" t="s">
        <v>61</v>
      </c>
      <c r="S150" s="79">
        <v>123456789</v>
      </c>
    </row>
    <row r="151" spans="1:19" x14ac:dyDescent="0.25">
      <c r="A151" s="79">
        <v>12345678</v>
      </c>
      <c r="B151" s="79" t="s">
        <v>368</v>
      </c>
      <c r="C151" s="82" t="s">
        <v>369</v>
      </c>
      <c r="D151" s="79">
        <v>123456</v>
      </c>
      <c r="E151" s="81">
        <v>12334567000189</v>
      </c>
      <c r="F151" s="79" t="s">
        <v>60</v>
      </c>
      <c r="G151" s="79" t="s">
        <v>23</v>
      </c>
      <c r="H151" s="79">
        <v>486.22</v>
      </c>
      <c r="I151" s="79">
        <v>469.25</v>
      </c>
      <c r="J151" s="79">
        <v>16.97</v>
      </c>
      <c r="K151" s="79" t="s">
        <v>28</v>
      </c>
      <c r="L151" s="79" t="s">
        <v>19</v>
      </c>
      <c r="M151" s="79" t="s">
        <v>29</v>
      </c>
      <c r="N151" s="79" t="s">
        <v>20</v>
      </c>
      <c r="O151" s="79"/>
      <c r="P151" s="79">
        <v>8227</v>
      </c>
      <c r="Q151" s="79" t="s">
        <v>62</v>
      </c>
      <c r="R151" s="79" t="s">
        <v>61</v>
      </c>
      <c r="S151" s="79">
        <v>123456789</v>
      </c>
    </row>
    <row r="152" spans="1:19" x14ac:dyDescent="0.25">
      <c r="A152" s="79">
        <v>12345678</v>
      </c>
      <c r="B152" s="79" t="s">
        <v>370</v>
      </c>
      <c r="C152" s="82" t="s">
        <v>371</v>
      </c>
      <c r="D152" s="79">
        <v>123456</v>
      </c>
      <c r="E152" s="81">
        <v>12334567000189</v>
      </c>
      <c r="F152" s="79" t="s">
        <v>60</v>
      </c>
      <c r="G152" s="79" t="s">
        <v>23</v>
      </c>
      <c r="H152" s="79">
        <v>43.19</v>
      </c>
      <c r="I152" s="79">
        <v>42.26</v>
      </c>
      <c r="J152" s="79">
        <v>0.93</v>
      </c>
      <c r="K152" s="79" t="s">
        <v>25</v>
      </c>
      <c r="L152" s="79" t="s">
        <v>19</v>
      </c>
      <c r="M152" s="79" t="s">
        <v>89</v>
      </c>
      <c r="N152" s="79" t="s">
        <v>20</v>
      </c>
      <c r="O152" s="79"/>
      <c r="P152" s="79">
        <v>6119</v>
      </c>
      <c r="Q152" s="79" t="s">
        <v>21</v>
      </c>
      <c r="R152" s="79" t="s">
        <v>61</v>
      </c>
      <c r="S152" s="79">
        <v>123456789</v>
      </c>
    </row>
    <row r="153" spans="1:19" x14ac:dyDescent="0.25">
      <c r="A153" s="79">
        <v>12345678</v>
      </c>
      <c r="B153" s="79" t="s">
        <v>372</v>
      </c>
      <c r="C153" s="82" t="s">
        <v>373</v>
      </c>
      <c r="D153" s="79">
        <v>123456</v>
      </c>
      <c r="E153" s="81">
        <v>12334567000189</v>
      </c>
      <c r="F153" s="79" t="s">
        <v>60</v>
      </c>
      <c r="G153" s="79" t="s">
        <v>23</v>
      </c>
      <c r="H153" s="79">
        <v>244.7</v>
      </c>
      <c r="I153" s="79">
        <v>237.07</v>
      </c>
      <c r="J153" s="79">
        <v>7.63</v>
      </c>
      <c r="K153" s="79" t="s">
        <v>28</v>
      </c>
      <c r="L153" s="79" t="s">
        <v>19</v>
      </c>
      <c r="M153" s="79" t="s">
        <v>24</v>
      </c>
      <c r="N153" s="79" t="s">
        <v>20</v>
      </c>
      <c r="O153" s="79"/>
      <c r="P153" s="79">
        <v>6711</v>
      </c>
      <c r="Q153" s="79" t="s">
        <v>21</v>
      </c>
      <c r="R153" s="79" t="s">
        <v>61</v>
      </c>
      <c r="S153" s="79">
        <v>123456789</v>
      </c>
    </row>
    <row r="154" spans="1:19" x14ac:dyDescent="0.25">
      <c r="A154" s="79">
        <v>12345678</v>
      </c>
      <c r="B154" s="79" t="s">
        <v>374</v>
      </c>
      <c r="C154" s="82" t="s">
        <v>375</v>
      </c>
      <c r="D154" s="79">
        <v>123456</v>
      </c>
      <c r="E154" s="81">
        <v>12334567000189</v>
      </c>
      <c r="F154" s="79" t="s">
        <v>60</v>
      </c>
      <c r="G154" s="79" t="s">
        <v>23</v>
      </c>
      <c r="H154" s="79">
        <v>247.09</v>
      </c>
      <c r="I154" s="79">
        <v>242.11</v>
      </c>
      <c r="J154" s="79">
        <v>4.9800000000000004</v>
      </c>
      <c r="K154" s="79" t="s">
        <v>25</v>
      </c>
      <c r="L154" s="79" t="s">
        <v>19</v>
      </c>
      <c r="M154" s="79" t="s">
        <v>26</v>
      </c>
      <c r="N154" s="79" t="s">
        <v>20</v>
      </c>
      <c r="O154" s="79"/>
      <c r="P154" s="79">
        <v>6330</v>
      </c>
      <c r="Q154" s="79" t="s">
        <v>21</v>
      </c>
      <c r="R154" s="79" t="s">
        <v>61</v>
      </c>
      <c r="S154" s="79">
        <v>123456789</v>
      </c>
    </row>
    <row r="155" spans="1:19" x14ac:dyDescent="0.25">
      <c r="A155" s="79">
        <v>12345678</v>
      </c>
      <c r="B155" s="79" t="s">
        <v>376</v>
      </c>
      <c r="C155" s="82" t="s">
        <v>377</v>
      </c>
      <c r="D155" s="79">
        <v>123456</v>
      </c>
      <c r="E155" s="81">
        <v>12334567000189</v>
      </c>
      <c r="F155" s="79" t="s">
        <v>60</v>
      </c>
      <c r="G155" s="79" t="s">
        <v>23</v>
      </c>
      <c r="H155" s="79">
        <v>287.20999999999998</v>
      </c>
      <c r="I155" s="79">
        <v>283.3</v>
      </c>
      <c r="J155" s="79">
        <v>3.91</v>
      </c>
      <c r="K155" s="79" t="s">
        <v>25</v>
      </c>
      <c r="L155" s="79" t="s">
        <v>19</v>
      </c>
      <c r="M155" s="79" t="s">
        <v>29</v>
      </c>
      <c r="N155" s="79" t="s">
        <v>20</v>
      </c>
      <c r="O155" s="79"/>
      <c r="P155" s="79">
        <v>6640</v>
      </c>
      <c r="Q155" s="79" t="s">
        <v>21</v>
      </c>
      <c r="R155" s="79" t="s">
        <v>61</v>
      </c>
      <c r="S155" s="79">
        <v>123456789</v>
      </c>
    </row>
    <row r="156" spans="1:19" x14ac:dyDescent="0.25">
      <c r="A156" s="79">
        <v>12345678</v>
      </c>
      <c r="B156" s="79" t="s">
        <v>378</v>
      </c>
      <c r="C156" s="82" t="s">
        <v>379</v>
      </c>
      <c r="D156" s="79">
        <v>123456</v>
      </c>
      <c r="E156" s="81">
        <v>12334567000189</v>
      </c>
      <c r="F156" s="79" t="s">
        <v>60</v>
      </c>
      <c r="G156" s="79" t="s">
        <v>23</v>
      </c>
      <c r="H156" s="79">
        <v>158.02000000000001</v>
      </c>
      <c r="I156" s="79">
        <v>156.22</v>
      </c>
      <c r="J156" s="79">
        <v>1.8</v>
      </c>
      <c r="K156" s="79" t="s">
        <v>22</v>
      </c>
      <c r="L156" s="79" t="s">
        <v>19</v>
      </c>
      <c r="M156" s="79" t="s">
        <v>19</v>
      </c>
      <c r="N156" s="79" t="s">
        <v>20</v>
      </c>
      <c r="O156" s="79"/>
      <c r="P156" s="79">
        <v>3056</v>
      </c>
      <c r="Q156" s="79" t="s">
        <v>21</v>
      </c>
      <c r="R156" s="79" t="s">
        <v>61</v>
      </c>
      <c r="S156" s="79">
        <v>123456789</v>
      </c>
    </row>
    <row r="157" spans="1:19" x14ac:dyDescent="0.25">
      <c r="A157" s="79">
        <v>12345678</v>
      </c>
      <c r="B157" s="79" t="s">
        <v>380</v>
      </c>
      <c r="C157" s="82" t="s">
        <v>381</v>
      </c>
      <c r="D157" s="79">
        <v>123456</v>
      </c>
      <c r="E157" s="81">
        <v>12334567000189</v>
      </c>
      <c r="F157" s="79" t="s">
        <v>60</v>
      </c>
      <c r="G157" s="79" t="s">
        <v>23</v>
      </c>
      <c r="H157" s="79">
        <v>219.19</v>
      </c>
      <c r="I157" s="79">
        <v>211.01</v>
      </c>
      <c r="J157" s="79">
        <v>8.18</v>
      </c>
      <c r="K157" s="79" t="s">
        <v>28</v>
      </c>
      <c r="L157" s="79" t="s">
        <v>19</v>
      </c>
      <c r="M157" s="79" t="s">
        <v>24</v>
      </c>
      <c r="N157" s="79" t="s">
        <v>20</v>
      </c>
      <c r="O157" s="79"/>
      <c r="P157" s="79">
        <v>7038</v>
      </c>
      <c r="Q157" s="79" t="s">
        <v>72</v>
      </c>
      <c r="R157" s="79" t="s">
        <v>61</v>
      </c>
      <c r="S157" s="79">
        <v>123456789</v>
      </c>
    </row>
    <row r="158" spans="1:19" x14ac:dyDescent="0.25">
      <c r="A158" s="79">
        <v>12345678</v>
      </c>
      <c r="B158" s="79" t="s">
        <v>382</v>
      </c>
      <c r="C158" s="82" t="s">
        <v>383</v>
      </c>
      <c r="D158" s="79">
        <v>123456</v>
      </c>
      <c r="E158" s="81">
        <v>12334567000189</v>
      </c>
      <c r="F158" s="79" t="s">
        <v>60</v>
      </c>
      <c r="G158" s="79" t="s">
        <v>23</v>
      </c>
      <c r="H158" s="79">
        <v>51.21</v>
      </c>
      <c r="I158" s="79">
        <v>49.11</v>
      </c>
      <c r="J158" s="79">
        <v>2.1</v>
      </c>
      <c r="K158" s="79" t="s">
        <v>28</v>
      </c>
      <c r="L158" s="79" t="s">
        <v>19</v>
      </c>
      <c r="M158" s="79" t="s">
        <v>26</v>
      </c>
      <c r="N158" s="79" t="s">
        <v>20</v>
      </c>
      <c r="O158" s="79"/>
      <c r="P158" s="79">
        <v>5267</v>
      </c>
      <c r="Q158" s="79" t="s">
        <v>21</v>
      </c>
      <c r="R158" s="79" t="s">
        <v>61</v>
      </c>
      <c r="S158" s="79">
        <v>123456789</v>
      </c>
    </row>
    <row r="159" spans="1:19" x14ac:dyDescent="0.25">
      <c r="A159" s="79">
        <v>12345678</v>
      </c>
      <c r="B159" s="79" t="s">
        <v>384</v>
      </c>
      <c r="C159" s="82" t="s">
        <v>385</v>
      </c>
      <c r="D159" s="79">
        <v>123456</v>
      </c>
      <c r="E159" s="81">
        <v>12334567000189</v>
      </c>
      <c r="F159" s="79" t="s">
        <v>60</v>
      </c>
      <c r="G159" s="79" t="s">
        <v>23</v>
      </c>
      <c r="H159" s="79">
        <v>24.97</v>
      </c>
      <c r="I159" s="79">
        <v>23.85</v>
      </c>
      <c r="J159" s="79">
        <v>1.1200000000000001</v>
      </c>
      <c r="K159" s="79" t="s">
        <v>28</v>
      </c>
      <c r="L159" s="79" t="s">
        <v>19</v>
      </c>
      <c r="M159" s="79" t="s">
        <v>69</v>
      </c>
      <c r="N159" s="79" t="s">
        <v>20</v>
      </c>
      <c r="O159" s="79"/>
      <c r="P159" s="79">
        <v>3525</v>
      </c>
      <c r="Q159" s="79" t="s">
        <v>21</v>
      </c>
      <c r="R159" s="79" t="s">
        <v>61</v>
      </c>
      <c r="S159" s="79">
        <v>123456789</v>
      </c>
    </row>
    <row r="160" spans="1:19" x14ac:dyDescent="0.25">
      <c r="A160" s="79">
        <v>12345678</v>
      </c>
      <c r="B160" s="79" t="s">
        <v>386</v>
      </c>
      <c r="C160" s="82" t="s">
        <v>387</v>
      </c>
      <c r="D160" s="79">
        <v>123456</v>
      </c>
      <c r="E160" s="81">
        <v>12334567000189</v>
      </c>
      <c r="F160" s="79" t="s">
        <v>60</v>
      </c>
      <c r="G160" s="79" t="s">
        <v>23</v>
      </c>
      <c r="H160" s="79">
        <v>121.12</v>
      </c>
      <c r="I160" s="79">
        <v>118.83</v>
      </c>
      <c r="J160" s="79">
        <v>2.29</v>
      </c>
      <c r="K160" s="79" t="s">
        <v>25</v>
      </c>
      <c r="L160" s="79" t="s">
        <v>19</v>
      </c>
      <c r="M160" s="79" t="s">
        <v>69</v>
      </c>
      <c r="N160" s="79" t="s">
        <v>20</v>
      </c>
      <c r="O160" s="79"/>
      <c r="P160" s="79">
        <v>1672</v>
      </c>
      <c r="Q160" s="79" t="s">
        <v>21</v>
      </c>
      <c r="R160" s="79" t="s">
        <v>61</v>
      </c>
      <c r="S160" s="79">
        <v>123456789</v>
      </c>
    </row>
    <row r="161" spans="1:19" x14ac:dyDescent="0.25">
      <c r="A161" s="79">
        <v>12345678</v>
      </c>
      <c r="B161" s="79" t="s">
        <v>388</v>
      </c>
      <c r="C161" s="82" t="s">
        <v>389</v>
      </c>
      <c r="D161" s="79">
        <v>123456</v>
      </c>
      <c r="E161" s="81">
        <v>12334567000189</v>
      </c>
      <c r="F161" s="79" t="s">
        <v>60</v>
      </c>
      <c r="G161" s="79" t="s">
        <v>23</v>
      </c>
      <c r="H161" s="79">
        <v>254.83</v>
      </c>
      <c r="I161" s="79">
        <v>244.85</v>
      </c>
      <c r="J161" s="79">
        <v>9.98</v>
      </c>
      <c r="K161" s="79" t="s">
        <v>28</v>
      </c>
      <c r="L161" s="79" t="s">
        <v>19</v>
      </c>
      <c r="M161" s="79" t="s">
        <v>69</v>
      </c>
      <c r="N161" s="79" t="s">
        <v>20</v>
      </c>
      <c r="O161" s="79"/>
      <c r="P161" s="79">
        <v>2506</v>
      </c>
      <c r="Q161" s="79" t="s">
        <v>102</v>
      </c>
      <c r="R161" s="79" t="s">
        <v>61</v>
      </c>
      <c r="S161" s="79">
        <v>123456789</v>
      </c>
    </row>
    <row r="162" spans="1:19" x14ac:dyDescent="0.25">
      <c r="A162" s="79">
        <v>12345678</v>
      </c>
      <c r="B162" s="79" t="s">
        <v>390</v>
      </c>
      <c r="C162" s="82" t="s">
        <v>391</v>
      </c>
      <c r="D162" s="79">
        <v>123456</v>
      </c>
      <c r="E162" s="81">
        <v>12334567000189</v>
      </c>
      <c r="F162" s="79" t="s">
        <v>60</v>
      </c>
      <c r="G162" s="79" t="s">
        <v>23</v>
      </c>
      <c r="H162" s="79">
        <v>430.09</v>
      </c>
      <c r="I162" s="79">
        <v>413.32</v>
      </c>
      <c r="J162" s="79">
        <v>16.77</v>
      </c>
      <c r="K162" s="79" t="s">
        <v>28</v>
      </c>
      <c r="L162" s="79" t="s">
        <v>19</v>
      </c>
      <c r="M162" s="79" t="s">
        <v>29</v>
      </c>
      <c r="N162" s="79" t="s">
        <v>20</v>
      </c>
      <c r="O162" s="79"/>
      <c r="P162" s="79">
        <v>1984</v>
      </c>
      <c r="Q162" s="79" t="s">
        <v>62</v>
      </c>
      <c r="R162" s="79" t="s">
        <v>61</v>
      </c>
      <c r="S162" s="79">
        <v>123456789</v>
      </c>
    </row>
    <row r="163" spans="1:19" x14ac:dyDescent="0.25">
      <c r="A163" s="79">
        <v>12345678</v>
      </c>
      <c r="B163" s="79" t="s">
        <v>392</v>
      </c>
      <c r="C163" s="82" t="s">
        <v>393</v>
      </c>
      <c r="D163" s="79">
        <v>123456</v>
      </c>
      <c r="E163" s="81">
        <v>12334567000189</v>
      </c>
      <c r="F163" s="79" t="s">
        <v>60</v>
      </c>
      <c r="G163" s="79" t="s">
        <v>23</v>
      </c>
      <c r="H163" s="79">
        <v>30.13</v>
      </c>
      <c r="I163" s="79">
        <v>28.78</v>
      </c>
      <c r="J163" s="79">
        <v>1.35</v>
      </c>
      <c r="K163" s="79" t="s">
        <v>28</v>
      </c>
      <c r="L163" s="79" t="s">
        <v>19</v>
      </c>
      <c r="M163" s="79" t="s">
        <v>27</v>
      </c>
      <c r="N163" s="79" t="s">
        <v>20</v>
      </c>
      <c r="O163" s="79"/>
      <c r="P163" s="79">
        <v>9039</v>
      </c>
      <c r="Q163" s="79" t="s">
        <v>21</v>
      </c>
      <c r="R163" s="79" t="s">
        <v>61</v>
      </c>
      <c r="S163" s="79">
        <v>123456789</v>
      </c>
    </row>
    <row r="164" spans="1:19" x14ac:dyDescent="0.25">
      <c r="A164" s="79">
        <v>12345678</v>
      </c>
      <c r="B164" s="79" t="s">
        <v>394</v>
      </c>
      <c r="C164" s="82" t="s">
        <v>395</v>
      </c>
      <c r="D164" s="79">
        <v>123456</v>
      </c>
      <c r="E164" s="81">
        <v>12334567000189</v>
      </c>
      <c r="F164" s="79" t="s">
        <v>60</v>
      </c>
      <c r="G164" s="79" t="s">
        <v>23</v>
      </c>
      <c r="H164" s="79">
        <v>245.56</v>
      </c>
      <c r="I164" s="79">
        <v>237.93</v>
      </c>
      <c r="J164" s="79">
        <v>7.63</v>
      </c>
      <c r="K164" s="79" t="s">
        <v>28</v>
      </c>
      <c r="L164" s="79" t="s">
        <v>19</v>
      </c>
      <c r="M164" s="79" t="s">
        <v>27</v>
      </c>
      <c r="N164" s="79" t="s">
        <v>20</v>
      </c>
      <c r="O164" s="79"/>
      <c r="P164" s="79">
        <v>6886</v>
      </c>
      <c r="Q164" s="79" t="s">
        <v>21</v>
      </c>
      <c r="R164" s="79" t="s">
        <v>61</v>
      </c>
      <c r="S164" s="79">
        <v>123456789</v>
      </c>
    </row>
    <row r="165" spans="1:19" x14ac:dyDescent="0.25">
      <c r="A165" s="79">
        <v>12345678</v>
      </c>
      <c r="B165" s="79" t="s">
        <v>396</v>
      </c>
      <c r="C165" s="82" t="s">
        <v>397</v>
      </c>
      <c r="D165" s="79">
        <v>123456</v>
      </c>
      <c r="E165" s="81">
        <v>12334567000189</v>
      </c>
      <c r="F165" s="79" t="s">
        <v>60</v>
      </c>
      <c r="G165" s="79" t="s">
        <v>23</v>
      </c>
      <c r="H165" s="79">
        <v>64.94</v>
      </c>
      <c r="I165" s="79">
        <v>62.96</v>
      </c>
      <c r="J165" s="79">
        <v>1.98</v>
      </c>
      <c r="K165" s="79" t="s">
        <v>28</v>
      </c>
      <c r="L165" s="79" t="s">
        <v>19</v>
      </c>
      <c r="M165" s="79" t="s">
        <v>29</v>
      </c>
      <c r="N165" s="79" t="s">
        <v>20</v>
      </c>
      <c r="O165" s="79"/>
      <c r="P165" s="79">
        <v>1312</v>
      </c>
      <c r="Q165" s="79" t="s">
        <v>62</v>
      </c>
      <c r="R165" s="79" t="s">
        <v>61</v>
      </c>
      <c r="S165" s="79">
        <v>123456789</v>
      </c>
    </row>
    <row r="166" spans="1:19" x14ac:dyDescent="0.25">
      <c r="A166" s="79">
        <v>12345678</v>
      </c>
      <c r="B166" s="79" t="s">
        <v>398</v>
      </c>
      <c r="C166" s="82" t="s">
        <v>399</v>
      </c>
      <c r="D166" s="79">
        <v>123456</v>
      </c>
      <c r="E166" s="81">
        <v>12334567000189</v>
      </c>
      <c r="F166" s="79" t="s">
        <v>60</v>
      </c>
      <c r="G166" s="79" t="s">
        <v>23</v>
      </c>
      <c r="H166" s="79">
        <v>213.38</v>
      </c>
      <c r="I166" s="79">
        <v>206.56</v>
      </c>
      <c r="J166" s="79">
        <v>6.82</v>
      </c>
      <c r="K166" s="79" t="s">
        <v>28</v>
      </c>
      <c r="L166" s="79" t="s">
        <v>19</v>
      </c>
      <c r="M166" s="79" t="s">
        <v>27</v>
      </c>
      <c r="N166" s="79" t="s">
        <v>20</v>
      </c>
      <c r="O166" s="79"/>
      <c r="P166" s="79">
        <v>2035</v>
      </c>
      <c r="Q166" s="79" t="s">
        <v>21</v>
      </c>
      <c r="R166" s="79" t="s">
        <v>61</v>
      </c>
      <c r="S166" s="79">
        <v>123456789</v>
      </c>
    </row>
    <row r="167" spans="1:19" x14ac:dyDescent="0.25">
      <c r="A167" s="79">
        <v>12345678</v>
      </c>
      <c r="B167" s="79" t="s">
        <v>400</v>
      </c>
      <c r="C167" s="82" t="s">
        <v>401</v>
      </c>
      <c r="D167" s="79">
        <v>123456</v>
      </c>
      <c r="E167" s="81">
        <v>12334567000189</v>
      </c>
      <c r="F167" s="79" t="s">
        <v>60</v>
      </c>
      <c r="G167" s="79" t="s">
        <v>23</v>
      </c>
      <c r="H167" s="79">
        <v>211.93</v>
      </c>
      <c r="I167" s="79">
        <v>203.81</v>
      </c>
      <c r="J167" s="79">
        <v>8.1199999999999992</v>
      </c>
      <c r="K167" s="79" t="s">
        <v>28</v>
      </c>
      <c r="L167" s="79" t="s">
        <v>19</v>
      </c>
      <c r="M167" s="79" t="s">
        <v>24</v>
      </c>
      <c r="N167" s="79" t="s">
        <v>20</v>
      </c>
      <c r="O167" s="79"/>
      <c r="P167" s="79">
        <v>9190</v>
      </c>
      <c r="Q167" s="79" t="s">
        <v>21</v>
      </c>
      <c r="R167" s="79" t="s">
        <v>61</v>
      </c>
      <c r="S167" s="79">
        <v>123456789</v>
      </c>
    </row>
    <row r="168" spans="1:19" x14ac:dyDescent="0.25">
      <c r="A168" s="79">
        <v>12345678</v>
      </c>
      <c r="B168" s="79" t="s">
        <v>402</v>
      </c>
      <c r="C168" s="82" t="s">
        <v>403</v>
      </c>
      <c r="D168" s="79">
        <v>123456</v>
      </c>
      <c r="E168" s="81">
        <v>12334567000189</v>
      </c>
      <c r="F168" s="79" t="s">
        <v>60</v>
      </c>
      <c r="G168" s="79" t="s">
        <v>23</v>
      </c>
      <c r="H168" s="79">
        <v>480.72</v>
      </c>
      <c r="I168" s="79">
        <v>472.66</v>
      </c>
      <c r="J168" s="79">
        <v>8.06</v>
      </c>
      <c r="K168" s="79" t="s">
        <v>25</v>
      </c>
      <c r="L168" s="79" t="s">
        <v>19</v>
      </c>
      <c r="M168" s="79" t="s">
        <v>89</v>
      </c>
      <c r="N168" s="79" t="s">
        <v>20</v>
      </c>
      <c r="O168" s="79"/>
      <c r="P168" s="79">
        <v>8424</v>
      </c>
      <c r="Q168" s="79" t="s">
        <v>21</v>
      </c>
      <c r="R168" s="79" t="s">
        <v>61</v>
      </c>
      <c r="S168" s="79">
        <v>123456789</v>
      </c>
    </row>
    <row r="169" spans="1:19" x14ac:dyDescent="0.25">
      <c r="A169" s="79">
        <v>12345678</v>
      </c>
      <c r="B169" s="79" t="s">
        <v>404</v>
      </c>
      <c r="C169" s="82" t="s">
        <v>405</v>
      </c>
      <c r="D169" s="79">
        <v>123456</v>
      </c>
      <c r="E169" s="81">
        <v>12334567000189</v>
      </c>
      <c r="F169" s="79" t="s">
        <v>60</v>
      </c>
      <c r="G169" s="79" t="s">
        <v>23</v>
      </c>
      <c r="H169" s="79">
        <v>405.53</v>
      </c>
      <c r="I169" s="79">
        <v>388.59</v>
      </c>
      <c r="J169" s="79">
        <v>16.940000000000001</v>
      </c>
      <c r="K169" s="79" t="s">
        <v>28</v>
      </c>
      <c r="L169" s="79" t="s">
        <v>19</v>
      </c>
      <c r="M169" s="79" t="s">
        <v>24</v>
      </c>
      <c r="N169" s="79" t="s">
        <v>20</v>
      </c>
      <c r="O169" s="79"/>
      <c r="P169" s="79">
        <v>6875</v>
      </c>
      <c r="Q169" s="79" t="s">
        <v>21</v>
      </c>
      <c r="R169" s="79" t="s">
        <v>61</v>
      </c>
      <c r="S169" s="79">
        <v>123456789</v>
      </c>
    </row>
    <row r="170" spans="1:19" x14ac:dyDescent="0.25">
      <c r="A170" s="79">
        <v>12345678</v>
      </c>
      <c r="B170" s="79" t="s">
        <v>406</v>
      </c>
      <c r="C170" s="82" t="s">
        <v>407</v>
      </c>
      <c r="D170" s="79">
        <v>123456</v>
      </c>
      <c r="E170" s="81">
        <v>12334567000189</v>
      </c>
      <c r="F170" s="79" t="s">
        <v>60</v>
      </c>
      <c r="G170" s="79" t="s">
        <v>23</v>
      </c>
      <c r="H170" s="79">
        <v>210.74</v>
      </c>
      <c r="I170" s="79">
        <v>209</v>
      </c>
      <c r="J170" s="79">
        <v>1.74</v>
      </c>
      <c r="K170" s="79" t="s">
        <v>22</v>
      </c>
      <c r="L170" s="79" t="s">
        <v>19</v>
      </c>
      <c r="M170" s="79" t="s">
        <v>19</v>
      </c>
      <c r="N170" s="79" t="s">
        <v>20</v>
      </c>
      <c r="O170" s="79"/>
      <c r="P170" s="79">
        <v>4643</v>
      </c>
      <c r="Q170" s="79" t="s">
        <v>21</v>
      </c>
      <c r="R170" s="79" t="s">
        <v>61</v>
      </c>
      <c r="S170" s="79">
        <v>123456789</v>
      </c>
    </row>
    <row r="171" spans="1:19" x14ac:dyDescent="0.25">
      <c r="A171" s="79">
        <v>12345678</v>
      </c>
      <c r="B171" s="79" t="s">
        <v>408</v>
      </c>
      <c r="C171" s="82" t="s">
        <v>409</v>
      </c>
      <c r="D171" s="79">
        <v>123456</v>
      </c>
      <c r="E171" s="81">
        <v>12334567000189</v>
      </c>
      <c r="F171" s="79" t="s">
        <v>60</v>
      </c>
      <c r="G171" s="79" t="s">
        <v>23</v>
      </c>
      <c r="H171" s="79">
        <v>176.37</v>
      </c>
      <c r="I171" s="79">
        <v>174.07</v>
      </c>
      <c r="J171" s="79">
        <v>2.2999999999999998</v>
      </c>
      <c r="K171" s="79" t="s">
        <v>25</v>
      </c>
      <c r="L171" s="79" t="s">
        <v>19</v>
      </c>
      <c r="M171" s="79" t="s">
        <v>29</v>
      </c>
      <c r="N171" s="79" t="s">
        <v>20</v>
      </c>
      <c r="O171" s="79"/>
      <c r="P171" s="79">
        <v>8452</v>
      </c>
      <c r="Q171" s="79" t="s">
        <v>21</v>
      </c>
      <c r="R171" s="79" t="s">
        <v>61</v>
      </c>
      <c r="S171" s="79">
        <v>123456789</v>
      </c>
    </row>
    <row r="172" spans="1:19" x14ac:dyDescent="0.25">
      <c r="A172" s="79">
        <v>12345678</v>
      </c>
      <c r="B172" s="79" t="s">
        <v>410</v>
      </c>
      <c r="C172" s="82" t="s">
        <v>411</v>
      </c>
      <c r="D172" s="79">
        <v>123456</v>
      </c>
      <c r="E172" s="81">
        <v>12334567000189</v>
      </c>
      <c r="F172" s="79" t="s">
        <v>60</v>
      </c>
      <c r="G172" s="79" t="s">
        <v>23</v>
      </c>
      <c r="H172" s="79">
        <v>63.63</v>
      </c>
      <c r="I172" s="79">
        <v>60.89</v>
      </c>
      <c r="J172" s="79">
        <v>2.74</v>
      </c>
      <c r="K172" s="79" t="s">
        <v>28</v>
      </c>
      <c r="L172" s="79" t="s">
        <v>19</v>
      </c>
      <c r="M172" s="79" t="s">
        <v>69</v>
      </c>
      <c r="N172" s="79" t="s">
        <v>20</v>
      </c>
      <c r="O172" s="79"/>
      <c r="P172" s="79">
        <v>2097</v>
      </c>
      <c r="Q172" s="79" t="s">
        <v>21</v>
      </c>
      <c r="R172" s="79" t="s">
        <v>61</v>
      </c>
      <c r="S172" s="79">
        <v>123456789</v>
      </c>
    </row>
    <row r="173" spans="1:19" x14ac:dyDescent="0.25">
      <c r="A173" s="79">
        <v>12345678</v>
      </c>
      <c r="B173" s="79" t="s">
        <v>412</v>
      </c>
      <c r="C173" s="82" t="s">
        <v>413</v>
      </c>
      <c r="D173" s="79">
        <v>123456</v>
      </c>
      <c r="E173" s="81">
        <v>12334567000189</v>
      </c>
      <c r="F173" s="79" t="s">
        <v>60</v>
      </c>
      <c r="G173" s="79" t="s">
        <v>23</v>
      </c>
      <c r="H173" s="79">
        <v>107.13</v>
      </c>
      <c r="I173" s="79">
        <v>105.22</v>
      </c>
      <c r="J173" s="79">
        <v>1.91</v>
      </c>
      <c r="K173" s="79" t="s">
        <v>25</v>
      </c>
      <c r="L173" s="79" t="s">
        <v>19</v>
      </c>
      <c r="M173" s="79" t="s">
        <v>69</v>
      </c>
      <c r="N173" s="79" t="s">
        <v>20</v>
      </c>
      <c r="O173" s="79"/>
      <c r="P173" s="79">
        <v>2075</v>
      </c>
      <c r="Q173" s="79" t="s">
        <v>21</v>
      </c>
      <c r="R173" s="79" t="s">
        <v>61</v>
      </c>
      <c r="S173" s="79">
        <v>123456789</v>
      </c>
    </row>
    <row r="174" spans="1:19" x14ac:dyDescent="0.25">
      <c r="A174" s="79">
        <v>12345678</v>
      </c>
      <c r="B174" s="79" t="s">
        <v>414</v>
      </c>
      <c r="C174" s="82" t="s">
        <v>415</v>
      </c>
      <c r="D174" s="79">
        <v>123456</v>
      </c>
      <c r="E174" s="81">
        <v>12334567000189</v>
      </c>
      <c r="F174" s="79" t="s">
        <v>60</v>
      </c>
      <c r="G174" s="79" t="s">
        <v>23</v>
      </c>
      <c r="H174" s="79">
        <v>123.3</v>
      </c>
      <c r="I174" s="79">
        <v>119.27</v>
      </c>
      <c r="J174" s="79">
        <v>4.03</v>
      </c>
      <c r="K174" s="79" t="s">
        <v>28</v>
      </c>
      <c r="L174" s="79" t="s">
        <v>19</v>
      </c>
      <c r="M174" s="79" t="s">
        <v>29</v>
      </c>
      <c r="N174" s="79" t="s">
        <v>20</v>
      </c>
      <c r="O174" s="79"/>
      <c r="P174" s="79">
        <v>9686</v>
      </c>
      <c r="Q174" s="79" t="s">
        <v>21</v>
      </c>
      <c r="R174" s="79" t="s">
        <v>61</v>
      </c>
      <c r="S174" s="79">
        <v>123456789</v>
      </c>
    </row>
    <row r="175" spans="1:19" x14ac:dyDescent="0.25">
      <c r="A175" s="79">
        <v>12345678</v>
      </c>
      <c r="B175" s="79" t="s">
        <v>416</v>
      </c>
      <c r="C175" s="82" t="s">
        <v>417</v>
      </c>
      <c r="D175" s="79">
        <v>123456</v>
      </c>
      <c r="E175" s="81">
        <v>12334567000189</v>
      </c>
      <c r="F175" s="79" t="s">
        <v>60</v>
      </c>
      <c r="G175" s="79" t="s">
        <v>23</v>
      </c>
      <c r="H175" s="79">
        <v>48.27</v>
      </c>
      <c r="I175" s="79">
        <v>47.3</v>
      </c>
      <c r="J175" s="79">
        <v>0.97</v>
      </c>
      <c r="K175" s="79" t="s">
        <v>25</v>
      </c>
      <c r="L175" s="79" t="s">
        <v>19</v>
      </c>
      <c r="M175" s="79" t="s">
        <v>27</v>
      </c>
      <c r="N175" s="79" t="s">
        <v>20</v>
      </c>
      <c r="O175" s="79"/>
      <c r="P175" s="79">
        <v>6192</v>
      </c>
      <c r="Q175" s="79" t="s">
        <v>21</v>
      </c>
      <c r="R175" s="79" t="s">
        <v>61</v>
      </c>
      <c r="S175" s="79">
        <v>123456789</v>
      </c>
    </row>
    <row r="176" spans="1:19" x14ac:dyDescent="0.25">
      <c r="A176" s="79">
        <v>12345678</v>
      </c>
      <c r="B176" s="79" t="s">
        <v>418</v>
      </c>
      <c r="C176" s="82" t="s">
        <v>419</v>
      </c>
      <c r="D176" s="79">
        <v>123456</v>
      </c>
      <c r="E176" s="81">
        <v>12334567000189</v>
      </c>
      <c r="F176" s="79" t="s">
        <v>60</v>
      </c>
      <c r="G176" s="79" t="s">
        <v>23</v>
      </c>
      <c r="H176" s="79">
        <v>292.89</v>
      </c>
      <c r="I176" s="79">
        <v>289.92</v>
      </c>
      <c r="J176" s="79">
        <v>2.97</v>
      </c>
      <c r="K176" s="79" t="s">
        <v>22</v>
      </c>
      <c r="L176" s="79" t="s">
        <v>19</v>
      </c>
      <c r="M176" s="79" t="s">
        <v>19</v>
      </c>
      <c r="N176" s="79" t="s">
        <v>20</v>
      </c>
      <c r="O176" s="79"/>
      <c r="P176" s="79">
        <v>2914</v>
      </c>
      <c r="Q176" s="79" t="s">
        <v>21</v>
      </c>
      <c r="R176" s="79" t="s">
        <v>61</v>
      </c>
      <c r="S176" s="79">
        <v>123456789</v>
      </c>
    </row>
    <row r="177" spans="1:19" x14ac:dyDescent="0.25">
      <c r="A177" s="79">
        <v>12345678</v>
      </c>
      <c r="B177" s="79" t="s">
        <v>420</v>
      </c>
      <c r="C177" s="82" t="s">
        <v>421</v>
      </c>
      <c r="D177" s="79">
        <v>123456</v>
      </c>
      <c r="E177" s="81">
        <v>12334567000189</v>
      </c>
      <c r="F177" s="79" t="s">
        <v>60</v>
      </c>
      <c r="G177" s="79" t="s">
        <v>23</v>
      </c>
      <c r="H177" s="79">
        <v>567.58000000000004</v>
      </c>
      <c r="I177" s="79">
        <v>549.77</v>
      </c>
      <c r="J177" s="79">
        <v>17.809999999999999</v>
      </c>
      <c r="K177" s="79" t="s">
        <v>28</v>
      </c>
      <c r="L177" s="79" t="s">
        <v>19</v>
      </c>
      <c r="M177" s="79" t="s">
        <v>29</v>
      </c>
      <c r="N177" s="79" t="s">
        <v>20</v>
      </c>
      <c r="O177" s="79"/>
      <c r="P177" s="79">
        <v>2435</v>
      </c>
      <c r="Q177" s="79" t="s">
        <v>21</v>
      </c>
      <c r="R177" s="79" t="s">
        <v>61</v>
      </c>
      <c r="S177" s="79">
        <v>123456789</v>
      </c>
    </row>
    <row r="178" spans="1:19" x14ac:dyDescent="0.25">
      <c r="A178" s="79">
        <v>12345678</v>
      </c>
      <c r="B178" s="79" t="s">
        <v>422</v>
      </c>
      <c r="C178" s="82" t="s">
        <v>423</v>
      </c>
      <c r="D178" s="79">
        <v>123456</v>
      </c>
      <c r="E178" s="81">
        <v>12334567000189</v>
      </c>
      <c r="F178" s="79" t="s">
        <v>60</v>
      </c>
      <c r="G178" s="79" t="s">
        <v>23</v>
      </c>
      <c r="H178" s="79">
        <v>130.53</v>
      </c>
      <c r="I178" s="79">
        <v>125.75</v>
      </c>
      <c r="J178" s="79">
        <v>4.78</v>
      </c>
      <c r="K178" s="79" t="s">
        <v>28</v>
      </c>
      <c r="L178" s="79" t="s">
        <v>19</v>
      </c>
      <c r="M178" s="79" t="s">
        <v>27</v>
      </c>
      <c r="N178" s="79" t="s">
        <v>20</v>
      </c>
      <c r="O178" s="79"/>
      <c r="P178" s="79">
        <v>1691</v>
      </c>
      <c r="Q178" s="79" t="s">
        <v>62</v>
      </c>
      <c r="R178" s="79" t="s">
        <v>61</v>
      </c>
      <c r="S178" s="79">
        <v>123456789</v>
      </c>
    </row>
    <row r="179" spans="1:19" x14ac:dyDescent="0.25">
      <c r="A179" s="79">
        <v>12345678</v>
      </c>
      <c r="B179" s="79" t="s">
        <v>424</v>
      </c>
      <c r="C179" s="82" t="s">
        <v>425</v>
      </c>
      <c r="D179" s="79">
        <v>123456</v>
      </c>
      <c r="E179" s="81">
        <v>12334567000189</v>
      </c>
      <c r="F179" s="79" t="s">
        <v>60</v>
      </c>
      <c r="G179" s="79" t="s">
        <v>23</v>
      </c>
      <c r="H179" s="79">
        <v>153.29</v>
      </c>
      <c r="I179" s="79">
        <v>150.28</v>
      </c>
      <c r="J179" s="79">
        <v>3.01</v>
      </c>
      <c r="K179" s="79" t="s">
        <v>25</v>
      </c>
      <c r="L179" s="79" t="s">
        <v>19</v>
      </c>
      <c r="M179" s="79" t="s">
        <v>27</v>
      </c>
      <c r="N179" s="79" t="s">
        <v>20</v>
      </c>
      <c r="O179" s="79"/>
      <c r="P179" s="79">
        <v>9397</v>
      </c>
      <c r="Q179" s="79" t="s">
        <v>21</v>
      </c>
      <c r="R179" s="79" t="s">
        <v>61</v>
      </c>
      <c r="S179" s="79">
        <v>123456789</v>
      </c>
    </row>
    <row r="180" spans="1:19" x14ac:dyDescent="0.25">
      <c r="A180" s="79">
        <v>12345678</v>
      </c>
      <c r="B180" s="79" t="s">
        <v>426</v>
      </c>
      <c r="C180" s="82" t="s">
        <v>427</v>
      </c>
      <c r="D180" s="79">
        <v>123456</v>
      </c>
      <c r="E180" s="81">
        <v>12334567000189</v>
      </c>
      <c r="F180" s="79" t="s">
        <v>60</v>
      </c>
      <c r="G180" s="79" t="s">
        <v>23</v>
      </c>
      <c r="H180" s="79">
        <v>178.68</v>
      </c>
      <c r="I180" s="79">
        <v>176.12</v>
      </c>
      <c r="J180" s="79">
        <v>2.56</v>
      </c>
      <c r="K180" s="79" t="s">
        <v>25</v>
      </c>
      <c r="L180" s="79" t="s">
        <v>19</v>
      </c>
      <c r="M180" s="79" t="s">
        <v>24</v>
      </c>
      <c r="N180" s="79" t="s">
        <v>20</v>
      </c>
      <c r="O180" s="79"/>
      <c r="P180" s="79">
        <v>3354</v>
      </c>
      <c r="Q180" s="79" t="s">
        <v>21</v>
      </c>
      <c r="R180" s="79" t="s">
        <v>61</v>
      </c>
      <c r="S180" s="79">
        <v>123456789</v>
      </c>
    </row>
    <row r="181" spans="1:19" x14ac:dyDescent="0.25">
      <c r="A181" s="79">
        <v>12345678</v>
      </c>
      <c r="B181" s="79" t="s">
        <v>428</v>
      </c>
      <c r="C181" s="82" t="s">
        <v>429</v>
      </c>
      <c r="D181" s="79">
        <v>123456</v>
      </c>
      <c r="E181" s="81">
        <v>12334567000189</v>
      </c>
      <c r="F181" s="79" t="s">
        <v>60</v>
      </c>
      <c r="G181" s="79" t="s">
        <v>23</v>
      </c>
      <c r="H181" s="79">
        <v>150.62</v>
      </c>
      <c r="I181" s="79">
        <v>145.33000000000001</v>
      </c>
      <c r="J181" s="79">
        <v>5.29</v>
      </c>
      <c r="K181" s="79" t="s">
        <v>28</v>
      </c>
      <c r="L181" s="79" t="s">
        <v>19</v>
      </c>
      <c r="M181" s="79" t="s">
        <v>27</v>
      </c>
      <c r="N181" s="79" t="s">
        <v>20</v>
      </c>
      <c r="O181" s="79"/>
      <c r="P181" s="79">
        <v>1471</v>
      </c>
      <c r="Q181" s="79" t="s">
        <v>21</v>
      </c>
      <c r="R181" s="79" t="s">
        <v>61</v>
      </c>
      <c r="S181" s="79">
        <v>123456789</v>
      </c>
    </row>
    <row r="182" spans="1:19" x14ac:dyDescent="0.25">
      <c r="A182" s="79">
        <v>12345678</v>
      </c>
      <c r="B182" s="79" t="s">
        <v>430</v>
      </c>
      <c r="C182" s="82" t="s">
        <v>431</v>
      </c>
      <c r="D182" s="79">
        <v>123456</v>
      </c>
      <c r="E182" s="81">
        <v>12334567000189</v>
      </c>
      <c r="F182" s="79" t="s">
        <v>60</v>
      </c>
      <c r="G182" s="79" t="s">
        <v>23</v>
      </c>
      <c r="H182" s="79">
        <v>211.33</v>
      </c>
      <c r="I182" s="79">
        <v>207.27</v>
      </c>
      <c r="J182" s="79">
        <v>4.0599999999999996</v>
      </c>
      <c r="K182" s="79" t="s">
        <v>25</v>
      </c>
      <c r="L182" s="79" t="s">
        <v>19</v>
      </c>
      <c r="M182" s="79" t="s">
        <v>26</v>
      </c>
      <c r="N182" s="79" t="s">
        <v>20</v>
      </c>
      <c r="O182" s="79"/>
      <c r="P182" s="79">
        <v>2487</v>
      </c>
      <c r="Q182" s="79" t="s">
        <v>21</v>
      </c>
      <c r="R182" s="79" t="s">
        <v>61</v>
      </c>
      <c r="S182" s="79">
        <v>123456789</v>
      </c>
    </row>
    <row r="183" spans="1:19" x14ac:dyDescent="0.25">
      <c r="A183" s="79">
        <v>12345678</v>
      </c>
      <c r="B183" s="79" t="s">
        <v>432</v>
      </c>
      <c r="C183" s="82" t="s">
        <v>433</v>
      </c>
      <c r="D183" s="79">
        <v>123456</v>
      </c>
      <c r="E183" s="81">
        <v>12334567000189</v>
      </c>
      <c r="F183" s="79" t="s">
        <v>60</v>
      </c>
      <c r="G183" s="79" t="s">
        <v>23</v>
      </c>
      <c r="H183" s="79">
        <v>178.13</v>
      </c>
      <c r="I183" s="79">
        <v>171.85</v>
      </c>
      <c r="J183" s="79">
        <v>6.28</v>
      </c>
      <c r="K183" s="79" t="s">
        <v>28</v>
      </c>
      <c r="L183" s="79" t="s">
        <v>19</v>
      </c>
      <c r="M183" s="79" t="s">
        <v>89</v>
      </c>
      <c r="N183" s="79" t="s">
        <v>20</v>
      </c>
      <c r="O183" s="79"/>
      <c r="P183" s="79">
        <v>7677</v>
      </c>
      <c r="Q183" s="79" t="s">
        <v>62</v>
      </c>
      <c r="R183" s="79" t="s">
        <v>61</v>
      </c>
      <c r="S183" s="79">
        <v>123456789</v>
      </c>
    </row>
    <row r="184" spans="1:19" x14ac:dyDescent="0.25">
      <c r="A184" s="79">
        <v>12345678</v>
      </c>
      <c r="B184" s="79" t="s">
        <v>434</v>
      </c>
      <c r="C184" s="82" t="s">
        <v>435</v>
      </c>
      <c r="D184" s="79">
        <v>123456</v>
      </c>
      <c r="E184" s="81">
        <v>12334567000189</v>
      </c>
      <c r="F184" s="79" t="s">
        <v>60</v>
      </c>
      <c r="G184" s="79" t="s">
        <v>125</v>
      </c>
      <c r="H184" s="79">
        <v>41.99</v>
      </c>
      <c r="I184" s="79">
        <v>40.64</v>
      </c>
      <c r="J184" s="79">
        <v>1.35</v>
      </c>
      <c r="K184" s="79" t="s">
        <v>28</v>
      </c>
      <c r="L184" s="79" t="s">
        <v>19</v>
      </c>
      <c r="M184" s="79" t="s">
        <v>26</v>
      </c>
      <c r="N184" s="79" t="s">
        <v>20</v>
      </c>
      <c r="O184" s="79"/>
      <c r="P184" s="79">
        <v>3348</v>
      </c>
      <c r="Q184" s="79" t="s">
        <v>62</v>
      </c>
      <c r="R184" s="79" t="s">
        <v>61</v>
      </c>
      <c r="S184" s="79">
        <v>123456789</v>
      </c>
    </row>
    <row r="185" spans="1:19" x14ac:dyDescent="0.25">
      <c r="A185" s="79">
        <v>12345678</v>
      </c>
      <c r="B185" s="79" t="s">
        <v>436</v>
      </c>
      <c r="C185" s="82" t="s">
        <v>437</v>
      </c>
      <c r="D185" s="79">
        <v>123456</v>
      </c>
      <c r="E185" s="81">
        <v>12334567000189</v>
      </c>
      <c r="F185" s="79" t="s">
        <v>60</v>
      </c>
      <c r="G185" s="79" t="s">
        <v>23</v>
      </c>
      <c r="H185" s="79">
        <v>1344.86</v>
      </c>
      <c r="I185" s="79">
        <v>1286.51</v>
      </c>
      <c r="J185" s="79">
        <v>58.35</v>
      </c>
      <c r="K185" s="79" t="s">
        <v>28</v>
      </c>
      <c r="L185" s="79" t="s">
        <v>19</v>
      </c>
      <c r="M185" s="79" t="s">
        <v>27</v>
      </c>
      <c r="N185" s="79" t="s">
        <v>20</v>
      </c>
      <c r="O185" s="79"/>
      <c r="P185" s="79">
        <v>3205</v>
      </c>
      <c r="Q185" s="79" t="s">
        <v>21</v>
      </c>
      <c r="R185" s="79" t="s">
        <v>61</v>
      </c>
      <c r="S185" s="79">
        <v>123456789</v>
      </c>
    </row>
    <row r="186" spans="1:19" x14ac:dyDescent="0.25">
      <c r="A186" s="79">
        <v>12345678</v>
      </c>
      <c r="B186" s="79" t="s">
        <v>438</v>
      </c>
      <c r="C186" s="82" t="s">
        <v>439</v>
      </c>
      <c r="D186" s="79">
        <v>123456</v>
      </c>
      <c r="E186" s="81">
        <v>12334567000189</v>
      </c>
      <c r="F186" s="79" t="s">
        <v>60</v>
      </c>
      <c r="G186" s="79" t="s">
        <v>23</v>
      </c>
      <c r="H186" s="79">
        <v>598.88</v>
      </c>
      <c r="I186" s="79">
        <v>580.66999999999996</v>
      </c>
      <c r="J186" s="79">
        <v>18.21</v>
      </c>
      <c r="K186" s="79" t="s">
        <v>28</v>
      </c>
      <c r="L186" s="79" t="s">
        <v>19</v>
      </c>
      <c r="M186" s="79" t="s">
        <v>27</v>
      </c>
      <c r="N186" s="79" t="s">
        <v>20</v>
      </c>
      <c r="O186" s="79"/>
      <c r="P186" s="79">
        <v>5965</v>
      </c>
      <c r="Q186" s="79" t="s">
        <v>21</v>
      </c>
      <c r="R186" s="79" t="s">
        <v>61</v>
      </c>
      <c r="S186" s="79">
        <v>123456789</v>
      </c>
    </row>
    <row r="187" spans="1:19" x14ac:dyDescent="0.25">
      <c r="A187" s="79">
        <v>12345678</v>
      </c>
      <c r="B187" s="79" t="s">
        <v>440</v>
      </c>
      <c r="C187" s="82" t="s">
        <v>441</v>
      </c>
      <c r="D187" s="79">
        <v>123456</v>
      </c>
      <c r="E187" s="81">
        <v>12334567000189</v>
      </c>
      <c r="F187" s="79" t="s">
        <v>60</v>
      </c>
      <c r="G187" s="79" t="s">
        <v>23</v>
      </c>
      <c r="H187" s="79">
        <v>100.61</v>
      </c>
      <c r="I187" s="79">
        <v>98.95</v>
      </c>
      <c r="J187" s="79">
        <v>1.66</v>
      </c>
      <c r="K187" s="79" t="s">
        <v>25</v>
      </c>
      <c r="L187" s="79" t="s">
        <v>19</v>
      </c>
      <c r="M187" s="79" t="s">
        <v>29</v>
      </c>
      <c r="N187" s="79" t="s">
        <v>20</v>
      </c>
      <c r="O187" s="79"/>
      <c r="P187" s="79">
        <v>6855</v>
      </c>
      <c r="Q187" s="79" t="s">
        <v>21</v>
      </c>
      <c r="R187" s="79" t="s">
        <v>61</v>
      </c>
      <c r="S187" s="79">
        <v>123456789</v>
      </c>
    </row>
    <row r="188" spans="1:19" x14ac:dyDescent="0.25">
      <c r="A188" s="79">
        <v>12345678</v>
      </c>
      <c r="B188" s="79" t="s">
        <v>442</v>
      </c>
      <c r="C188" s="82" t="s">
        <v>443</v>
      </c>
      <c r="D188" s="79">
        <v>123456</v>
      </c>
      <c r="E188" s="81">
        <v>12334567000189</v>
      </c>
      <c r="F188" s="79" t="s">
        <v>60</v>
      </c>
      <c r="G188" s="79" t="s">
        <v>23</v>
      </c>
      <c r="H188" s="79">
        <v>78.040000000000006</v>
      </c>
      <c r="I188" s="79">
        <v>75.33</v>
      </c>
      <c r="J188" s="79">
        <v>2.71</v>
      </c>
      <c r="K188" s="79" t="s">
        <v>28</v>
      </c>
      <c r="L188" s="79" t="s">
        <v>19</v>
      </c>
      <c r="M188" s="79" t="s">
        <v>29</v>
      </c>
      <c r="N188" s="79" t="s">
        <v>20</v>
      </c>
      <c r="O188" s="79"/>
      <c r="P188" s="79">
        <v>6952</v>
      </c>
      <c r="Q188" s="79" t="s">
        <v>102</v>
      </c>
      <c r="R188" s="79" t="s">
        <v>61</v>
      </c>
      <c r="S188" s="79">
        <v>123456789</v>
      </c>
    </row>
    <row r="189" spans="1:19" x14ac:dyDescent="0.25">
      <c r="A189" s="79">
        <v>12345678</v>
      </c>
      <c r="B189" s="79" t="s">
        <v>444</v>
      </c>
      <c r="C189" s="82" t="s">
        <v>445</v>
      </c>
      <c r="D189" s="79">
        <v>123456</v>
      </c>
      <c r="E189" s="81">
        <v>12334567000189</v>
      </c>
      <c r="F189" s="79" t="s">
        <v>60</v>
      </c>
      <c r="G189" s="79" t="s">
        <v>23</v>
      </c>
      <c r="H189" s="79">
        <v>292.49</v>
      </c>
      <c r="I189" s="79">
        <v>290.06</v>
      </c>
      <c r="J189" s="79">
        <v>2.4300000000000002</v>
      </c>
      <c r="K189" s="79" t="s">
        <v>22</v>
      </c>
      <c r="L189" s="79" t="s">
        <v>19</v>
      </c>
      <c r="M189" s="79" t="s">
        <v>19</v>
      </c>
      <c r="N189" s="79" t="s">
        <v>20</v>
      </c>
      <c r="O189" s="79"/>
      <c r="P189" s="79">
        <v>9443</v>
      </c>
      <c r="Q189" s="79" t="s">
        <v>21</v>
      </c>
      <c r="R189" s="79" t="s">
        <v>61</v>
      </c>
      <c r="S189" s="79">
        <v>123456789</v>
      </c>
    </row>
    <row r="190" spans="1:19" x14ac:dyDescent="0.25">
      <c r="A190" s="79">
        <v>12345678</v>
      </c>
      <c r="B190" s="79" t="s">
        <v>446</v>
      </c>
      <c r="C190" s="82" t="s">
        <v>447</v>
      </c>
      <c r="D190" s="79">
        <v>123456</v>
      </c>
      <c r="E190" s="81">
        <v>12334567000189</v>
      </c>
      <c r="F190" s="79" t="s">
        <v>60</v>
      </c>
      <c r="G190" s="79" t="s">
        <v>23</v>
      </c>
      <c r="H190" s="79">
        <v>15.39</v>
      </c>
      <c r="I190" s="79">
        <v>14.77</v>
      </c>
      <c r="J190" s="79">
        <v>0.62</v>
      </c>
      <c r="K190" s="79" t="s">
        <v>28</v>
      </c>
      <c r="L190" s="79" t="s">
        <v>19</v>
      </c>
      <c r="M190" s="79" t="s">
        <v>27</v>
      </c>
      <c r="N190" s="79" t="s">
        <v>20</v>
      </c>
      <c r="O190" s="79"/>
      <c r="P190" s="79">
        <v>3631</v>
      </c>
      <c r="Q190" s="79" t="s">
        <v>21</v>
      </c>
      <c r="R190" s="79" t="s">
        <v>61</v>
      </c>
      <c r="S190" s="79">
        <v>123456789</v>
      </c>
    </row>
    <row r="191" spans="1:19" x14ac:dyDescent="0.25">
      <c r="A191" s="79">
        <v>12345678</v>
      </c>
      <c r="B191" s="79" t="s">
        <v>448</v>
      </c>
      <c r="C191" s="82" t="s">
        <v>449</v>
      </c>
      <c r="D191" s="79">
        <v>123456</v>
      </c>
      <c r="E191" s="81">
        <v>12334567000189</v>
      </c>
      <c r="F191" s="79" t="s">
        <v>60</v>
      </c>
      <c r="G191" s="79" t="s">
        <v>23</v>
      </c>
      <c r="H191" s="79">
        <v>42.93</v>
      </c>
      <c r="I191" s="79">
        <v>41.52</v>
      </c>
      <c r="J191" s="79">
        <v>1.41</v>
      </c>
      <c r="K191" s="79" t="s">
        <v>28</v>
      </c>
      <c r="L191" s="79" t="s">
        <v>19</v>
      </c>
      <c r="M191" s="79" t="s">
        <v>27</v>
      </c>
      <c r="N191" s="79" t="s">
        <v>20</v>
      </c>
      <c r="O191" s="79"/>
      <c r="P191" s="79">
        <v>7502</v>
      </c>
      <c r="Q191" s="79" t="s">
        <v>62</v>
      </c>
      <c r="R191" s="79" t="s">
        <v>61</v>
      </c>
      <c r="S191" s="79">
        <v>123456789</v>
      </c>
    </row>
    <row r="192" spans="1:19" x14ac:dyDescent="0.25">
      <c r="A192" s="79">
        <v>12345678</v>
      </c>
      <c r="B192" s="79" t="s">
        <v>450</v>
      </c>
      <c r="C192" s="82" t="s">
        <v>451</v>
      </c>
      <c r="D192" s="79">
        <v>123456</v>
      </c>
      <c r="E192" s="81">
        <v>12334567000189</v>
      </c>
      <c r="F192" s="79" t="s">
        <v>60</v>
      </c>
      <c r="G192" s="79" t="s">
        <v>23</v>
      </c>
      <c r="H192" s="79">
        <v>42.46</v>
      </c>
      <c r="I192" s="79">
        <v>42</v>
      </c>
      <c r="J192" s="79">
        <v>0.46</v>
      </c>
      <c r="K192" s="79" t="s">
        <v>22</v>
      </c>
      <c r="L192" s="79" t="s">
        <v>19</v>
      </c>
      <c r="M192" s="79" t="s">
        <v>19</v>
      </c>
      <c r="N192" s="79" t="s">
        <v>20</v>
      </c>
      <c r="O192" s="79"/>
      <c r="P192" s="79">
        <v>2850</v>
      </c>
      <c r="Q192" s="79" t="s">
        <v>21</v>
      </c>
      <c r="R192" s="79" t="s">
        <v>61</v>
      </c>
      <c r="S192" s="79">
        <v>123456789</v>
      </c>
    </row>
    <row r="193" spans="1:19" x14ac:dyDescent="0.25">
      <c r="A193" s="79">
        <v>12345678</v>
      </c>
      <c r="B193" s="79" t="s">
        <v>452</v>
      </c>
      <c r="C193" s="82" t="s">
        <v>453</v>
      </c>
      <c r="D193" s="79">
        <v>123456</v>
      </c>
      <c r="E193" s="81">
        <v>12334567000189</v>
      </c>
      <c r="F193" s="79" t="s">
        <v>60</v>
      </c>
      <c r="G193" s="79" t="s">
        <v>23</v>
      </c>
      <c r="H193" s="79">
        <v>289.36</v>
      </c>
      <c r="I193" s="79">
        <v>276.86</v>
      </c>
      <c r="J193" s="79">
        <v>12.5</v>
      </c>
      <c r="K193" s="79" t="s">
        <v>28</v>
      </c>
      <c r="L193" s="79" t="s">
        <v>19</v>
      </c>
      <c r="M193" s="79" t="s">
        <v>27</v>
      </c>
      <c r="N193" s="79" t="s">
        <v>20</v>
      </c>
      <c r="O193" s="79"/>
      <c r="P193" s="79">
        <v>2478</v>
      </c>
      <c r="Q193" s="79" t="s">
        <v>21</v>
      </c>
      <c r="R193" s="79" t="s">
        <v>61</v>
      </c>
      <c r="S193" s="79">
        <v>123456789</v>
      </c>
    </row>
    <row r="194" spans="1:19" x14ac:dyDescent="0.25">
      <c r="A194" s="79">
        <v>12345678</v>
      </c>
      <c r="B194" s="79" t="s">
        <v>454</v>
      </c>
      <c r="C194" s="82" t="s">
        <v>455</v>
      </c>
      <c r="D194" s="79">
        <v>123456</v>
      </c>
      <c r="E194" s="81">
        <v>12334567000189</v>
      </c>
      <c r="F194" s="79" t="s">
        <v>60</v>
      </c>
      <c r="G194" s="79" t="s">
        <v>23</v>
      </c>
      <c r="H194" s="79">
        <v>259.23</v>
      </c>
      <c r="I194" s="79">
        <v>256.99</v>
      </c>
      <c r="J194" s="79">
        <v>2.2400000000000002</v>
      </c>
      <c r="K194" s="79" t="s">
        <v>22</v>
      </c>
      <c r="L194" s="79" t="s">
        <v>19</v>
      </c>
      <c r="M194" s="79" t="s">
        <v>19</v>
      </c>
      <c r="N194" s="79" t="s">
        <v>20</v>
      </c>
      <c r="O194" s="79"/>
      <c r="P194" s="79">
        <v>4010</v>
      </c>
      <c r="Q194" s="79" t="s">
        <v>21</v>
      </c>
      <c r="R194" s="79" t="s">
        <v>61</v>
      </c>
      <c r="S194" s="79">
        <v>123456789</v>
      </c>
    </row>
    <row r="195" spans="1:19" x14ac:dyDescent="0.25">
      <c r="A195" s="79">
        <v>12345678</v>
      </c>
      <c r="B195" s="79" t="s">
        <v>456</v>
      </c>
      <c r="C195" s="82" t="s">
        <v>457</v>
      </c>
      <c r="D195" s="79">
        <v>123456</v>
      </c>
      <c r="E195" s="81">
        <v>12334567000189</v>
      </c>
      <c r="F195" s="79" t="s">
        <v>60</v>
      </c>
      <c r="G195" s="79" t="s">
        <v>23</v>
      </c>
      <c r="H195" s="79">
        <v>126.19</v>
      </c>
      <c r="I195" s="79">
        <v>123.84</v>
      </c>
      <c r="J195" s="79">
        <v>2.35</v>
      </c>
      <c r="K195" s="79" t="s">
        <v>25</v>
      </c>
      <c r="L195" s="79" t="s">
        <v>19</v>
      </c>
      <c r="M195" s="79" t="s">
        <v>26</v>
      </c>
      <c r="N195" s="79" t="s">
        <v>20</v>
      </c>
      <c r="O195" s="79"/>
      <c r="P195" s="79">
        <v>1376</v>
      </c>
      <c r="Q195" s="79" t="s">
        <v>21</v>
      </c>
      <c r="R195" s="79" t="s">
        <v>61</v>
      </c>
      <c r="S195" s="79">
        <v>123456789</v>
      </c>
    </row>
    <row r="196" spans="1:19" x14ac:dyDescent="0.25">
      <c r="A196" s="79">
        <v>12345678</v>
      </c>
      <c r="B196" s="79" t="s">
        <v>458</v>
      </c>
      <c r="C196" s="82" t="s">
        <v>459</v>
      </c>
      <c r="D196" s="79">
        <v>123456</v>
      </c>
      <c r="E196" s="81">
        <v>12334567000189</v>
      </c>
      <c r="F196" s="79" t="s">
        <v>60</v>
      </c>
      <c r="G196" s="79" t="s">
        <v>23</v>
      </c>
      <c r="H196" s="79">
        <v>272.98</v>
      </c>
      <c r="I196" s="79">
        <v>269.73</v>
      </c>
      <c r="J196" s="79">
        <v>3.25</v>
      </c>
      <c r="K196" s="79" t="s">
        <v>22</v>
      </c>
      <c r="L196" s="79" t="s">
        <v>19</v>
      </c>
      <c r="M196" s="79" t="s">
        <v>19</v>
      </c>
      <c r="N196" s="79" t="s">
        <v>20</v>
      </c>
      <c r="O196" s="79"/>
      <c r="P196" s="79">
        <v>4531</v>
      </c>
      <c r="Q196" s="79" t="s">
        <v>21</v>
      </c>
      <c r="R196" s="79" t="s">
        <v>61</v>
      </c>
      <c r="S196" s="79">
        <v>123456789</v>
      </c>
    </row>
    <row r="197" spans="1:19" x14ac:dyDescent="0.25">
      <c r="A197" s="79">
        <v>12345678</v>
      </c>
      <c r="B197" s="79" t="s">
        <v>460</v>
      </c>
      <c r="C197" s="82" t="s">
        <v>461</v>
      </c>
      <c r="D197" s="79">
        <v>123456</v>
      </c>
      <c r="E197" s="81">
        <v>12334567000189</v>
      </c>
      <c r="F197" s="79" t="s">
        <v>60</v>
      </c>
      <c r="G197" s="79" t="s">
        <v>23</v>
      </c>
      <c r="H197" s="79">
        <v>131.32</v>
      </c>
      <c r="I197" s="79">
        <v>130.05000000000001</v>
      </c>
      <c r="J197" s="79">
        <v>1.27</v>
      </c>
      <c r="K197" s="79" t="s">
        <v>22</v>
      </c>
      <c r="L197" s="79" t="s">
        <v>19</v>
      </c>
      <c r="M197" s="79" t="s">
        <v>19</v>
      </c>
      <c r="N197" s="79" t="s">
        <v>20</v>
      </c>
      <c r="O197" s="79"/>
      <c r="P197" s="79">
        <v>1745</v>
      </c>
      <c r="Q197" s="79" t="s">
        <v>21</v>
      </c>
      <c r="R197" s="79" t="s">
        <v>61</v>
      </c>
      <c r="S197" s="79">
        <v>123456789</v>
      </c>
    </row>
    <row r="198" spans="1:19" x14ac:dyDescent="0.25">
      <c r="A198" s="79">
        <v>12345678</v>
      </c>
      <c r="B198" s="79" t="s">
        <v>462</v>
      </c>
      <c r="C198" s="82" t="s">
        <v>463</v>
      </c>
      <c r="D198" s="79">
        <v>123456</v>
      </c>
      <c r="E198" s="81">
        <v>12334567000189</v>
      </c>
      <c r="F198" s="79" t="s">
        <v>60</v>
      </c>
      <c r="G198" s="79" t="s">
        <v>23</v>
      </c>
      <c r="H198" s="79">
        <v>293.48</v>
      </c>
      <c r="I198" s="79">
        <v>281.72000000000003</v>
      </c>
      <c r="J198" s="79">
        <v>11.76</v>
      </c>
      <c r="K198" s="79" t="s">
        <v>28</v>
      </c>
      <c r="L198" s="79" t="s">
        <v>19</v>
      </c>
      <c r="M198" s="79" t="s">
        <v>27</v>
      </c>
      <c r="N198" s="79" t="s">
        <v>20</v>
      </c>
      <c r="O198" s="79"/>
      <c r="P198" s="79">
        <v>6169</v>
      </c>
      <c r="Q198" s="79" t="s">
        <v>72</v>
      </c>
      <c r="R198" s="79" t="s">
        <v>61</v>
      </c>
      <c r="S198" s="79">
        <v>123456789</v>
      </c>
    </row>
    <row r="199" spans="1:19" x14ac:dyDescent="0.25">
      <c r="A199" s="79">
        <v>12345678</v>
      </c>
      <c r="B199" s="79" t="s">
        <v>464</v>
      </c>
      <c r="C199" s="82" t="s">
        <v>465</v>
      </c>
      <c r="D199" s="79">
        <v>123456</v>
      </c>
      <c r="E199" s="81">
        <v>12334567000189</v>
      </c>
      <c r="F199" s="79" t="s">
        <v>60</v>
      </c>
      <c r="G199" s="79" t="s">
        <v>23</v>
      </c>
      <c r="H199" s="79">
        <v>1233.4000000000001</v>
      </c>
      <c r="I199" s="79">
        <v>1207.1199999999999</v>
      </c>
      <c r="J199" s="79">
        <v>26.28</v>
      </c>
      <c r="K199" s="79" t="s">
        <v>25</v>
      </c>
      <c r="L199" s="79" t="s">
        <v>19</v>
      </c>
      <c r="M199" s="79" t="s">
        <v>69</v>
      </c>
      <c r="N199" s="79" t="s">
        <v>20</v>
      </c>
      <c r="O199" s="79"/>
      <c r="P199" s="79">
        <v>4479</v>
      </c>
      <c r="Q199" s="79" t="s">
        <v>21</v>
      </c>
      <c r="R199" s="79" t="s">
        <v>61</v>
      </c>
      <c r="S199" s="79">
        <v>123456789</v>
      </c>
    </row>
    <row r="200" spans="1:19" x14ac:dyDescent="0.25">
      <c r="A200" s="79">
        <v>12345678</v>
      </c>
      <c r="B200" s="79" t="s">
        <v>466</v>
      </c>
      <c r="C200" s="82" t="s">
        <v>467</v>
      </c>
      <c r="D200" s="79">
        <v>123456</v>
      </c>
      <c r="E200" s="81">
        <v>12334567000189</v>
      </c>
      <c r="F200" s="79" t="s">
        <v>60</v>
      </c>
      <c r="G200" s="79" t="s">
        <v>125</v>
      </c>
      <c r="H200" s="79">
        <v>175.53</v>
      </c>
      <c r="I200" s="79">
        <v>172.59</v>
      </c>
      <c r="J200" s="79">
        <v>2.94</v>
      </c>
      <c r="K200" s="79" t="s">
        <v>25</v>
      </c>
      <c r="L200" s="79" t="s">
        <v>19</v>
      </c>
      <c r="M200" s="79" t="s">
        <v>29</v>
      </c>
      <c r="N200" s="79" t="s">
        <v>20</v>
      </c>
      <c r="O200" s="79"/>
      <c r="P200" s="79">
        <v>3118</v>
      </c>
      <c r="Q200" s="79" t="s">
        <v>21</v>
      </c>
      <c r="R200" s="79" t="s">
        <v>61</v>
      </c>
      <c r="S200" s="79">
        <v>123456789</v>
      </c>
    </row>
    <row r="201" spans="1:19" x14ac:dyDescent="0.25">
      <c r="A201" s="79">
        <v>12345678</v>
      </c>
      <c r="B201" s="79" t="s">
        <v>468</v>
      </c>
      <c r="C201" s="82" t="s">
        <v>469</v>
      </c>
      <c r="D201" s="79">
        <v>123456</v>
      </c>
      <c r="E201" s="81">
        <v>12334567000189</v>
      </c>
      <c r="F201" s="79" t="s">
        <v>60</v>
      </c>
      <c r="G201" s="79" t="s">
        <v>23</v>
      </c>
      <c r="H201" s="79">
        <v>103.72</v>
      </c>
      <c r="I201" s="79">
        <v>100.52</v>
      </c>
      <c r="J201" s="79">
        <v>3.2</v>
      </c>
      <c r="K201" s="79" t="s">
        <v>28</v>
      </c>
      <c r="L201" s="79" t="s">
        <v>19</v>
      </c>
      <c r="M201" s="79" t="s">
        <v>29</v>
      </c>
      <c r="N201" s="79" t="s">
        <v>20</v>
      </c>
      <c r="O201" s="79"/>
      <c r="P201" s="79">
        <v>7358</v>
      </c>
      <c r="Q201" s="79" t="s">
        <v>21</v>
      </c>
      <c r="R201" s="79" t="s">
        <v>61</v>
      </c>
      <c r="S201" s="79">
        <v>123456789</v>
      </c>
    </row>
    <row r="202" spans="1:19" x14ac:dyDescent="0.25">
      <c r="A202" s="79">
        <v>12345678</v>
      </c>
      <c r="B202" s="79" t="s">
        <v>470</v>
      </c>
      <c r="C202" s="82" t="s">
        <v>471</v>
      </c>
      <c r="D202" s="79">
        <v>123456</v>
      </c>
      <c r="E202" s="81">
        <v>12334567000189</v>
      </c>
      <c r="F202" s="79" t="s">
        <v>60</v>
      </c>
      <c r="G202" s="79" t="s">
        <v>23</v>
      </c>
      <c r="H202" s="79">
        <v>229.38</v>
      </c>
      <c r="I202" s="79">
        <v>219.71</v>
      </c>
      <c r="J202" s="79">
        <v>9.67</v>
      </c>
      <c r="K202" s="79" t="s">
        <v>28</v>
      </c>
      <c r="L202" s="79" t="s">
        <v>19</v>
      </c>
      <c r="M202" s="79" t="s">
        <v>89</v>
      </c>
      <c r="N202" s="79" t="s">
        <v>20</v>
      </c>
      <c r="O202" s="79"/>
      <c r="P202" s="79">
        <v>9366</v>
      </c>
      <c r="Q202" s="79" t="s">
        <v>21</v>
      </c>
      <c r="R202" s="79" t="s">
        <v>61</v>
      </c>
      <c r="S202" s="79">
        <v>123456789</v>
      </c>
    </row>
    <row r="203" spans="1:19" x14ac:dyDescent="0.25">
      <c r="A203" s="79">
        <v>12345678</v>
      </c>
      <c r="B203" s="79" t="s">
        <v>472</v>
      </c>
      <c r="C203" s="82" t="s">
        <v>473</v>
      </c>
      <c r="D203" s="79">
        <v>123456</v>
      </c>
      <c r="E203" s="81">
        <v>12334567000189</v>
      </c>
      <c r="F203" s="79" t="s">
        <v>60</v>
      </c>
      <c r="G203" s="79" t="s">
        <v>23</v>
      </c>
      <c r="H203" s="79">
        <v>174.86</v>
      </c>
      <c r="I203" s="79">
        <v>168.95</v>
      </c>
      <c r="J203" s="79">
        <v>5.91</v>
      </c>
      <c r="K203" s="79" t="s">
        <v>28</v>
      </c>
      <c r="L203" s="79" t="s">
        <v>19</v>
      </c>
      <c r="M203" s="79" t="s">
        <v>26</v>
      </c>
      <c r="N203" s="79" t="s">
        <v>20</v>
      </c>
      <c r="O203" s="79"/>
      <c r="P203" s="79">
        <v>7470</v>
      </c>
      <c r="Q203" s="79" t="s">
        <v>21</v>
      </c>
      <c r="R203" s="79" t="s">
        <v>61</v>
      </c>
      <c r="S203" s="79">
        <v>123456789</v>
      </c>
    </row>
    <row r="204" spans="1:19" x14ac:dyDescent="0.25">
      <c r="A204" s="79">
        <v>12345678</v>
      </c>
      <c r="B204" s="79" t="s">
        <v>474</v>
      </c>
      <c r="C204" s="82" t="s">
        <v>475</v>
      </c>
      <c r="D204" s="79">
        <v>123456</v>
      </c>
      <c r="E204" s="81">
        <v>12334567000189</v>
      </c>
      <c r="F204" s="79" t="s">
        <v>60</v>
      </c>
      <c r="G204" s="79" t="s">
        <v>23</v>
      </c>
      <c r="H204" s="79">
        <v>210.62</v>
      </c>
      <c r="I204" s="79">
        <v>201.56</v>
      </c>
      <c r="J204" s="79">
        <v>9.06</v>
      </c>
      <c r="K204" s="79" t="s">
        <v>28</v>
      </c>
      <c r="L204" s="79" t="s">
        <v>19</v>
      </c>
      <c r="M204" s="79" t="s">
        <v>69</v>
      </c>
      <c r="N204" s="79" t="s">
        <v>20</v>
      </c>
      <c r="O204" s="79"/>
      <c r="P204" s="79">
        <v>1357</v>
      </c>
      <c r="Q204" s="79" t="s">
        <v>21</v>
      </c>
      <c r="R204" s="79" t="s">
        <v>61</v>
      </c>
      <c r="S204" s="79">
        <v>123456789</v>
      </c>
    </row>
    <row r="205" spans="1:19" x14ac:dyDescent="0.25">
      <c r="A205" s="79">
        <v>12345678</v>
      </c>
      <c r="B205" s="79" t="s">
        <v>476</v>
      </c>
      <c r="C205" s="82" t="s">
        <v>477</v>
      </c>
      <c r="D205" s="79">
        <v>123456</v>
      </c>
      <c r="E205" s="81">
        <v>12334567000189</v>
      </c>
      <c r="F205" s="79" t="s">
        <v>60</v>
      </c>
      <c r="G205" s="79" t="s">
        <v>23</v>
      </c>
      <c r="H205" s="79">
        <v>139.13</v>
      </c>
      <c r="I205" s="79">
        <v>133.94</v>
      </c>
      <c r="J205" s="79">
        <v>5.19</v>
      </c>
      <c r="K205" s="79" t="s">
        <v>28</v>
      </c>
      <c r="L205" s="79" t="s">
        <v>19</v>
      </c>
      <c r="M205" s="79" t="s">
        <v>29</v>
      </c>
      <c r="N205" s="79" t="s">
        <v>20</v>
      </c>
      <c r="O205" s="79"/>
      <c r="P205" s="79">
        <v>6174</v>
      </c>
      <c r="Q205" s="79" t="s">
        <v>102</v>
      </c>
      <c r="R205" s="79" t="s">
        <v>61</v>
      </c>
      <c r="S205" s="79">
        <v>123456789</v>
      </c>
    </row>
    <row r="206" spans="1:19" x14ac:dyDescent="0.25">
      <c r="A206" s="79">
        <v>12345678</v>
      </c>
      <c r="B206" s="79" t="s">
        <v>478</v>
      </c>
      <c r="C206" s="82" t="s">
        <v>479</v>
      </c>
      <c r="D206" s="79">
        <v>123456</v>
      </c>
      <c r="E206" s="81">
        <v>12334567000189</v>
      </c>
      <c r="F206" s="79" t="s">
        <v>60</v>
      </c>
      <c r="G206" s="79" t="s">
        <v>23</v>
      </c>
      <c r="H206" s="79">
        <v>267.85000000000002</v>
      </c>
      <c r="I206" s="79">
        <v>264.08999999999997</v>
      </c>
      <c r="J206" s="79">
        <v>3.76</v>
      </c>
      <c r="K206" s="79" t="s">
        <v>25</v>
      </c>
      <c r="L206" s="79" t="s">
        <v>19</v>
      </c>
      <c r="M206" s="79" t="s">
        <v>89</v>
      </c>
      <c r="N206" s="79" t="s">
        <v>20</v>
      </c>
      <c r="O206" s="79"/>
      <c r="P206" s="79">
        <v>4394</v>
      </c>
      <c r="Q206" s="79" t="s">
        <v>21</v>
      </c>
      <c r="R206" s="79" t="s">
        <v>61</v>
      </c>
      <c r="S206" s="79">
        <v>123456789</v>
      </c>
    </row>
    <row r="207" spans="1:19" x14ac:dyDescent="0.25">
      <c r="A207" s="79">
        <v>12345678</v>
      </c>
      <c r="B207" s="79" t="s">
        <v>480</v>
      </c>
      <c r="C207" s="82" t="s">
        <v>481</v>
      </c>
      <c r="D207" s="79">
        <v>123456</v>
      </c>
      <c r="E207" s="81">
        <v>12334567000189</v>
      </c>
      <c r="F207" s="79" t="s">
        <v>60</v>
      </c>
      <c r="G207" s="79" t="s">
        <v>23</v>
      </c>
      <c r="H207" s="79">
        <v>47.44</v>
      </c>
      <c r="I207" s="79">
        <v>45.87</v>
      </c>
      <c r="J207" s="79">
        <v>1.57</v>
      </c>
      <c r="K207" s="79" t="s">
        <v>28</v>
      </c>
      <c r="L207" s="79" t="s">
        <v>19</v>
      </c>
      <c r="M207" s="79" t="s">
        <v>89</v>
      </c>
      <c r="N207" s="79" t="s">
        <v>20</v>
      </c>
      <c r="O207" s="79"/>
      <c r="P207" s="79">
        <v>9444</v>
      </c>
      <c r="Q207" s="79" t="s">
        <v>21</v>
      </c>
      <c r="R207" s="79" t="s">
        <v>61</v>
      </c>
      <c r="S207" s="79">
        <v>123456789</v>
      </c>
    </row>
    <row r="208" spans="1:19" x14ac:dyDescent="0.25">
      <c r="A208" s="79">
        <v>12345678</v>
      </c>
      <c r="B208" s="79" t="s">
        <v>482</v>
      </c>
      <c r="C208" s="82" t="s">
        <v>483</v>
      </c>
      <c r="D208" s="79">
        <v>123456</v>
      </c>
      <c r="E208" s="81">
        <v>12334567000189</v>
      </c>
      <c r="F208" s="79" t="s">
        <v>60</v>
      </c>
      <c r="G208" s="79" t="s">
        <v>23</v>
      </c>
      <c r="H208" s="79">
        <v>284.42</v>
      </c>
      <c r="I208" s="79">
        <v>278.68</v>
      </c>
      <c r="J208" s="79">
        <v>5.74</v>
      </c>
      <c r="K208" s="79" t="s">
        <v>25</v>
      </c>
      <c r="L208" s="79" t="s">
        <v>19</v>
      </c>
      <c r="M208" s="79" t="s">
        <v>29</v>
      </c>
      <c r="N208" s="79" t="s">
        <v>20</v>
      </c>
      <c r="O208" s="79"/>
      <c r="P208" s="79">
        <v>8760</v>
      </c>
      <c r="Q208" s="79" t="s">
        <v>21</v>
      </c>
      <c r="R208" s="79" t="s">
        <v>61</v>
      </c>
      <c r="S208" s="79">
        <v>123456789</v>
      </c>
    </row>
    <row r="209" spans="1:19" x14ac:dyDescent="0.25">
      <c r="A209" s="79">
        <v>12345678</v>
      </c>
      <c r="B209" s="79" t="s">
        <v>484</v>
      </c>
      <c r="C209" s="82" t="s">
        <v>485</v>
      </c>
      <c r="D209" s="79">
        <v>123456</v>
      </c>
      <c r="E209" s="81">
        <v>12334567000189</v>
      </c>
      <c r="F209" s="79" t="s">
        <v>60</v>
      </c>
      <c r="G209" s="79" t="s">
        <v>23</v>
      </c>
      <c r="H209" s="79">
        <v>118.01</v>
      </c>
      <c r="I209" s="79">
        <v>113.13</v>
      </c>
      <c r="J209" s="79">
        <v>4.88</v>
      </c>
      <c r="K209" s="79" t="s">
        <v>28</v>
      </c>
      <c r="L209" s="79" t="s">
        <v>19</v>
      </c>
      <c r="M209" s="79" t="s">
        <v>26</v>
      </c>
      <c r="N209" s="79" t="s">
        <v>20</v>
      </c>
      <c r="O209" s="79"/>
      <c r="P209" s="79">
        <v>3473</v>
      </c>
      <c r="Q209" s="79" t="s">
        <v>21</v>
      </c>
      <c r="R209" s="79" t="s">
        <v>61</v>
      </c>
      <c r="S209" s="79">
        <v>123456789</v>
      </c>
    </row>
    <row r="210" spans="1:19" x14ac:dyDescent="0.25">
      <c r="A210" s="79">
        <v>12345678</v>
      </c>
      <c r="B210" s="79" t="s">
        <v>486</v>
      </c>
      <c r="C210" s="82" t="s">
        <v>487</v>
      </c>
      <c r="D210" s="79">
        <v>123456</v>
      </c>
      <c r="E210" s="81">
        <v>12334567000189</v>
      </c>
      <c r="F210" s="79" t="s">
        <v>60</v>
      </c>
      <c r="G210" s="79" t="s">
        <v>23</v>
      </c>
      <c r="H210" s="79">
        <v>216.88</v>
      </c>
      <c r="I210" s="79">
        <v>214.57</v>
      </c>
      <c r="J210" s="79">
        <v>2.31</v>
      </c>
      <c r="K210" s="79" t="s">
        <v>22</v>
      </c>
      <c r="L210" s="79" t="s">
        <v>19</v>
      </c>
      <c r="M210" s="79" t="s">
        <v>19</v>
      </c>
      <c r="N210" s="79" t="s">
        <v>20</v>
      </c>
      <c r="O210" s="79"/>
      <c r="P210" s="79">
        <v>1605</v>
      </c>
      <c r="Q210" s="79" t="s">
        <v>21</v>
      </c>
      <c r="R210" s="79" t="s">
        <v>61</v>
      </c>
      <c r="S210" s="79">
        <v>123456789</v>
      </c>
    </row>
    <row r="211" spans="1:19" x14ac:dyDescent="0.25">
      <c r="A211" s="79">
        <v>12345678</v>
      </c>
      <c r="B211" s="79" t="s">
        <v>488</v>
      </c>
      <c r="C211" s="82" t="s">
        <v>489</v>
      </c>
      <c r="D211" s="79">
        <v>123456</v>
      </c>
      <c r="E211" s="81">
        <v>12334567000189</v>
      </c>
      <c r="F211" s="79" t="s">
        <v>60</v>
      </c>
      <c r="G211" s="79" t="s">
        <v>23</v>
      </c>
      <c r="H211" s="79">
        <v>265.16000000000003</v>
      </c>
      <c r="I211" s="79">
        <v>255.14</v>
      </c>
      <c r="J211" s="79">
        <v>10.02</v>
      </c>
      <c r="K211" s="79" t="s">
        <v>28</v>
      </c>
      <c r="L211" s="79" t="s">
        <v>19</v>
      </c>
      <c r="M211" s="79" t="s">
        <v>89</v>
      </c>
      <c r="N211" s="79" t="s">
        <v>20</v>
      </c>
      <c r="O211" s="79"/>
      <c r="P211" s="79">
        <v>9737</v>
      </c>
      <c r="Q211" s="79" t="s">
        <v>21</v>
      </c>
      <c r="R211" s="79" t="s">
        <v>61</v>
      </c>
      <c r="S211" s="79">
        <v>123456789</v>
      </c>
    </row>
    <row r="212" spans="1:19" x14ac:dyDescent="0.25">
      <c r="A212" s="79">
        <v>12345678</v>
      </c>
      <c r="B212" s="79" t="s">
        <v>490</v>
      </c>
      <c r="C212" s="82" t="s">
        <v>491</v>
      </c>
      <c r="D212" s="79">
        <v>123456</v>
      </c>
      <c r="E212" s="81">
        <v>12334567000189</v>
      </c>
      <c r="F212" s="79" t="s">
        <v>60</v>
      </c>
      <c r="G212" s="79" t="s">
        <v>23</v>
      </c>
      <c r="H212" s="79">
        <v>203.41</v>
      </c>
      <c r="I212" s="79">
        <v>199.27</v>
      </c>
      <c r="J212" s="79">
        <v>4.1399999999999997</v>
      </c>
      <c r="K212" s="79" t="s">
        <v>25</v>
      </c>
      <c r="L212" s="79" t="s">
        <v>19</v>
      </c>
      <c r="M212" s="79" t="s">
        <v>89</v>
      </c>
      <c r="N212" s="79" t="s">
        <v>20</v>
      </c>
      <c r="O212" s="79"/>
      <c r="P212" s="79">
        <v>8210</v>
      </c>
      <c r="Q212" s="79" t="s">
        <v>21</v>
      </c>
      <c r="R212" s="79" t="s">
        <v>61</v>
      </c>
      <c r="S212" s="79">
        <v>123456789</v>
      </c>
    </row>
    <row r="213" spans="1:19" x14ac:dyDescent="0.25">
      <c r="A213" s="79">
        <v>12345678</v>
      </c>
      <c r="B213" s="79" t="s">
        <v>492</v>
      </c>
      <c r="C213" s="82" t="s">
        <v>493</v>
      </c>
      <c r="D213" s="79">
        <v>123456</v>
      </c>
      <c r="E213" s="81">
        <v>12334567000189</v>
      </c>
      <c r="F213" s="79" t="s">
        <v>60</v>
      </c>
      <c r="G213" s="79" t="s">
        <v>23</v>
      </c>
      <c r="H213" s="79">
        <v>130.91</v>
      </c>
      <c r="I213" s="79">
        <v>129.02000000000001</v>
      </c>
      <c r="J213" s="79">
        <v>1.89</v>
      </c>
      <c r="K213" s="79" t="s">
        <v>25</v>
      </c>
      <c r="L213" s="79" t="s">
        <v>19</v>
      </c>
      <c r="M213" s="79" t="s">
        <v>89</v>
      </c>
      <c r="N213" s="79" t="s">
        <v>20</v>
      </c>
      <c r="O213" s="79"/>
      <c r="P213" s="79">
        <v>7910</v>
      </c>
      <c r="Q213" s="79" t="s">
        <v>21</v>
      </c>
      <c r="R213" s="79" t="s">
        <v>61</v>
      </c>
      <c r="S213" s="79">
        <v>123456789</v>
      </c>
    </row>
    <row r="214" spans="1:19" x14ac:dyDescent="0.25">
      <c r="A214" s="79">
        <v>12345678</v>
      </c>
      <c r="B214" s="79" t="s">
        <v>494</v>
      </c>
      <c r="C214" s="82" t="s">
        <v>495</v>
      </c>
      <c r="D214" s="79">
        <v>123456</v>
      </c>
      <c r="E214" s="81">
        <v>12334567000189</v>
      </c>
      <c r="F214" s="79" t="s">
        <v>60</v>
      </c>
      <c r="G214" s="79" t="s">
        <v>23</v>
      </c>
      <c r="H214" s="79">
        <v>429.35</v>
      </c>
      <c r="I214" s="79">
        <v>411.19</v>
      </c>
      <c r="J214" s="79">
        <v>18.16</v>
      </c>
      <c r="K214" s="79" t="s">
        <v>28</v>
      </c>
      <c r="L214" s="79" t="s">
        <v>19</v>
      </c>
      <c r="M214" s="79" t="s">
        <v>24</v>
      </c>
      <c r="N214" s="79" t="s">
        <v>20</v>
      </c>
      <c r="O214" s="79"/>
      <c r="P214" s="79">
        <v>8259</v>
      </c>
      <c r="Q214" s="79" t="s">
        <v>21</v>
      </c>
      <c r="R214" s="79" t="s">
        <v>61</v>
      </c>
      <c r="S214" s="79">
        <v>123456789</v>
      </c>
    </row>
    <row r="215" spans="1:19" x14ac:dyDescent="0.25">
      <c r="A215" s="79">
        <v>12345678</v>
      </c>
      <c r="B215" s="79" t="s">
        <v>496</v>
      </c>
      <c r="C215" s="82" t="s">
        <v>497</v>
      </c>
      <c r="D215" s="79">
        <v>123456</v>
      </c>
      <c r="E215" s="81">
        <v>12334567000189</v>
      </c>
      <c r="F215" s="79" t="s">
        <v>60</v>
      </c>
      <c r="G215" s="79" t="s">
        <v>23</v>
      </c>
      <c r="H215" s="79">
        <v>724.33</v>
      </c>
      <c r="I215" s="79">
        <v>711.18</v>
      </c>
      <c r="J215" s="79">
        <v>13.15</v>
      </c>
      <c r="K215" s="79" t="s">
        <v>25</v>
      </c>
      <c r="L215" s="79" t="s">
        <v>19</v>
      </c>
      <c r="M215" s="79" t="s">
        <v>69</v>
      </c>
      <c r="N215" s="79" t="s">
        <v>20</v>
      </c>
      <c r="O215" s="79"/>
      <c r="P215" s="79">
        <v>9052</v>
      </c>
      <c r="Q215" s="79" t="s">
        <v>21</v>
      </c>
      <c r="R215" s="79" t="s">
        <v>61</v>
      </c>
      <c r="S215" s="79">
        <v>123456789</v>
      </c>
    </row>
    <row r="216" spans="1:19" x14ac:dyDescent="0.25">
      <c r="A216" s="79">
        <v>12345678</v>
      </c>
      <c r="B216" s="79" t="s">
        <v>498</v>
      </c>
      <c r="C216" s="82" t="s">
        <v>499</v>
      </c>
      <c r="D216" s="79">
        <v>123456</v>
      </c>
      <c r="E216" s="81">
        <v>12334567000189</v>
      </c>
      <c r="F216" s="79" t="s">
        <v>60</v>
      </c>
      <c r="G216" s="79" t="s">
        <v>23</v>
      </c>
      <c r="H216" s="79">
        <v>130.33000000000001</v>
      </c>
      <c r="I216" s="79">
        <v>127.63</v>
      </c>
      <c r="J216" s="79">
        <v>2.7</v>
      </c>
      <c r="K216" s="79" t="s">
        <v>25</v>
      </c>
      <c r="L216" s="79" t="s">
        <v>19</v>
      </c>
      <c r="M216" s="79" t="s">
        <v>26</v>
      </c>
      <c r="N216" s="79" t="s">
        <v>20</v>
      </c>
      <c r="O216" s="79"/>
      <c r="P216" s="79">
        <v>4874</v>
      </c>
      <c r="Q216" s="79" t="s">
        <v>21</v>
      </c>
      <c r="R216" s="79" t="s">
        <v>61</v>
      </c>
      <c r="S216" s="79">
        <v>123456789</v>
      </c>
    </row>
    <row r="217" spans="1:19" x14ac:dyDescent="0.25">
      <c r="A217" s="79">
        <v>12345678</v>
      </c>
      <c r="B217" s="79" t="s">
        <v>500</v>
      </c>
      <c r="C217" s="82" t="s">
        <v>501</v>
      </c>
      <c r="D217" s="79">
        <v>123456</v>
      </c>
      <c r="E217" s="81">
        <v>12334567000189</v>
      </c>
      <c r="F217" s="79" t="s">
        <v>60</v>
      </c>
      <c r="G217" s="79" t="s">
        <v>23</v>
      </c>
      <c r="H217" s="79">
        <v>43.37</v>
      </c>
      <c r="I217" s="79">
        <v>42.03</v>
      </c>
      <c r="J217" s="79">
        <v>1.34</v>
      </c>
      <c r="K217" s="79" t="s">
        <v>28</v>
      </c>
      <c r="L217" s="79" t="s">
        <v>19</v>
      </c>
      <c r="M217" s="79" t="s">
        <v>24</v>
      </c>
      <c r="N217" s="79" t="s">
        <v>20</v>
      </c>
      <c r="O217" s="79"/>
      <c r="P217" s="79">
        <v>8612</v>
      </c>
      <c r="Q217" s="79" t="s">
        <v>21</v>
      </c>
      <c r="R217" s="79" t="s">
        <v>61</v>
      </c>
      <c r="S217" s="79">
        <v>123456789</v>
      </c>
    </row>
    <row r="218" spans="1:19" x14ac:dyDescent="0.25">
      <c r="A218" s="79">
        <v>12345678</v>
      </c>
      <c r="B218" s="79" t="s">
        <v>502</v>
      </c>
      <c r="C218" s="82" t="s">
        <v>503</v>
      </c>
      <c r="D218" s="79">
        <v>123456</v>
      </c>
      <c r="E218" s="81">
        <v>12334567000189</v>
      </c>
      <c r="F218" s="79" t="s">
        <v>60</v>
      </c>
      <c r="G218" s="79" t="s">
        <v>23</v>
      </c>
      <c r="H218" s="79">
        <v>58.54</v>
      </c>
      <c r="I218" s="79">
        <v>58.06</v>
      </c>
      <c r="J218" s="79">
        <v>0.48</v>
      </c>
      <c r="K218" s="79" t="s">
        <v>22</v>
      </c>
      <c r="L218" s="79" t="s">
        <v>19</v>
      </c>
      <c r="M218" s="79" t="s">
        <v>19</v>
      </c>
      <c r="N218" s="79" t="s">
        <v>20</v>
      </c>
      <c r="O218" s="79"/>
      <c r="P218" s="79">
        <v>8417</v>
      </c>
      <c r="Q218" s="79" t="s">
        <v>21</v>
      </c>
      <c r="R218" s="79" t="s">
        <v>61</v>
      </c>
      <c r="S218" s="79">
        <v>123456789</v>
      </c>
    </row>
    <row r="219" spans="1:19" x14ac:dyDescent="0.25">
      <c r="A219" s="79">
        <v>12345678</v>
      </c>
      <c r="B219" s="79" t="s">
        <v>504</v>
      </c>
      <c r="C219" s="82" t="s">
        <v>505</v>
      </c>
      <c r="D219" s="79">
        <v>123456</v>
      </c>
      <c r="E219" s="81">
        <v>12334567000189</v>
      </c>
      <c r="F219" s="79" t="s">
        <v>60</v>
      </c>
      <c r="G219" s="79" t="s">
        <v>23</v>
      </c>
      <c r="H219" s="79">
        <v>71.08</v>
      </c>
      <c r="I219" s="79">
        <v>67.930000000000007</v>
      </c>
      <c r="J219" s="79">
        <v>3.15</v>
      </c>
      <c r="K219" s="79" t="s">
        <v>28</v>
      </c>
      <c r="L219" s="79" t="s">
        <v>19</v>
      </c>
      <c r="M219" s="79" t="s">
        <v>26</v>
      </c>
      <c r="N219" s="79" t="s">
        <v>20</v>
      </c>
      <c r="O219" s="79"/>
      <c r="P219" s="79">
        <v>1138</v>
      </c>
      <c r="Q219" s="79" t="s">
        <v>21</v>
      </c>
      <c r="R219" s="79" t="s">
        <v>61</v>
      </c>
      <c r="S219" s="79">
        <v>123456789</v>
      </c>
    </row>
    <row r="220" spans="1:19" x14ac:dyDescent="0.25">
      <c r="A220" s="79">
        <v>12345678</v>
      </c>
      <c r="B220" s="79" t="s">
        <v>506</v>
      </c>
      <c r="C220" s="82" t="s">
        <v>507</v>
      </c>
      <c r="D220" s="79">
        <v>123456</v>
      </c>
      <c r="E220" s="81">
        <v>12334567000189</v>
      </c>
      <c r="F220" s="79" t="s">
        <v>60</v>
      </c>
      <c r="G220" s="79" t="s">
        <v>23</v>
      </c>
      <c r="H220" s="79">
        <v>12.72</v>
      </c>
      <c r="I220" s="79">
        <v>12.2</v>
      </c>
      <c r="J220" s="79">
        <v>0.52</v>
      </c>
      <c r="K220" s="79" t="s">
        <v>28</v>
      </c>
      <c r="L220" s="79" t="s">
        <v>19</v>
      </c>
      <c r="M220" s="79" t="s">
        <v>26</v>
      </c>
      <c r="N220" s="79" t="s">
        <v>20</v>
      </c>
      <c r="O220" s="79"/>
      <c r="P220" s="79">
        <v>3101</v>
      </c>
      <c r="Q220" s="79" t="s">
        <v>21</v>
      </c>
      <c r="R220" s="79" t="s">
        <v>61</v>
      </c>
      <c r="S220" s="79">
        <v>123456789</v>
      </c>
    </row>
    <row r="221" spans="1:19" x14ac:dyDescent="0.25">
      <c r="A221" s="79">
        <v>12345678</v>
      </c>
      <c r="B221" s="79" t="s">
        <v>508</v>
      </c>
      <c r="C221" s="82" t="s">
        <v>509</v>
      </c>
      <c r="D221" s="79">
        <v>123456</v>
      </c>
      <c r="E221" s="81">
        <v>12334567000189</v>
      </c>
      <c r="F221" s="79" t="s">
        <v>60</v>
      </c>
      <c r="G221" s="79" t="s">
        <v>23</v>
      </c>
      <c r="H221" s="79">
        <v>813.29</v>
      </c>
      <c r="I221" s="79">
        <v>796.27</v>
      </c>
      <c r="J221" s="79">
        <v>17.02</v>
      </c>
      <c r="K221" s="79" t="s">
        <v>25</v>
      </c>
      <c r="L221" s="79" t="s">
        <v>19</v>
      </c>
      <c r="M221" s="79" t="s">
        <v>69</v>
      </c>
      <c r="N221" s="79" t="s">
        <v>20</v>
      </c>
      <c r="O221" s="79"/>
      <c r="P221" s="79">
        <v>7882</v>
      </c>
      <c r="Q221" s="79" t="s">
        <v>21</v>
      </c>
      <c r="R221" s="79" t="s">
        <v>61</v>
      </c>
      <c r="S221" s="79">
        <v>123456789</v>
      </c>
    </row>
    <row r="222" spans="1:19" x14ac:dyDescent="0.25">
      <c r="A222" s="79">
        <v>12345678</v>
      </c>
      <c r="B222" s="79" t="s">
        <v>510</v>
      </c>
      <c r="C222" s="82" t="s">
        <v>511</v>
      </c>
      <c r="D222" s="79">
        <v>123456</v>
      </c>
      <c r="E222" s="81">
        <v>12334567000189</v>
      </c>
      <c r="F222" s="79" t="s">
        <v>60</v>
      </c>
      <c r="G222" s="79" t="s">
        <v>23</v>
      </c>
      <c r="H222" s="79">
        <v>107.06</v>
      </c>
      <c r="I222" s="79">
        <v>102.43</v>
      </c>
      <c r="J222" s="79">
        <v>4.63</v>
      </c>
      <c r="K222" s="79" t="s">
        <v>28</v>
      </c>
      <c r="L222" s="79" t="s">
        <v>19</v>
      </c>
      <c r="M222" s="79" t="s">
        <v>29</v>
      </c>
      <c r="N222" s="79" t="s">
        <v>20</v>
      </c>
      <c r="O222" s="79"/>
      <c r="P222" s="79">
        <v>2567</v>
      </c>
      <c r="Q222" s="79" t="s">
        <v>72</v>
      </c>
      <c r="R222" s="79" t="s">
        <v>61</v>
      </c>
      <c r="S222" s="79">
        <v>123456789</v>
      </c>
    </row>
    <row r="223" spans="1:19" x14ac:dyDescent="0.25">
      <c r="A223" s="79">
        <v>12345678</v>
      </c>
      <c r="B223" s="79" t="s">
        <v>512</v>
      </c>
      <c r="C223" s="82" t="s">
        <v>513</v>
      </c>
      <c r="D223" s="79">
        <v>123456</v>
      </c>
      <c r="E223" s="81">
        <v>12334567000189</v>
      </c>
      <c r="F223" s="79" t="s">
        <v>60</v>
      </c>
      <c r="G223" s="79" t="s">
        <v>23</v>
      </c>
      <c r="H223" s="79">
        <v>27.6</v>
      </c>
      <c r="I223" s="79">
        <v>27.23</v>
      </c>
      <c r="J223" s="79">
        <v>0.37</v>
      </c>
      <c r="K223" s="79" t="s">
        <v>25</v>
      </c>
      <c r="L223" s="79" t="s">
        <v>19</v>
      </c>
      <c r="M223" s="79" t="s">
        <v>26</v>
      </c>
      <c r="N223" s="79" t="s">
        <v>20</v>
      </c>
      <c r="O223" s="79"/>
      <c r="P223" s="79">
        <v>1425</v>
      </c>
      <c r="Q223" s="79" t="s">
        <v>21</v>
      </c>
      <c r="R223" s="79" t="s">
        <v>61</v>
      </c>
      <c r="S223" s="79">
        <v>123456789</v>
      </c>
    </row>
    <row r="224" spans="1:19" x14ac:dyDescent="0.25">
      <c r="A224" s="79">
        <v>12345678</v>
      </c>
      <c r="B224" s="79" t="s">
        <v>514</v>
      </c>
      <c r="C224" s="82" t="s">
        <v>515</v>
      </c>
      <c r="D224" s="79">
        <v>123456</v>
      </c>
      <c r="E224" s="81">
        <v>12334567000189</v>
      </c>
      <c r="F224" s="79" t="s">
        <v>60</v>
      </c>
      <c r="G224" s="79" t="s">
        <v>23</v>
      </c>
      <c r="H224" s="79">
        <v>39.78</v>
      </c>
      <c r="I224" s="79">
        <v>38.229999999999997</v>
      </c>
      <c r="J224" s="79">
        <v>1.55</v>
      </c>
      <c r="K224" s="79" t="s">
        <v>28</v>
      </c>
      <c r="L224" s="79" t="s">
        <v>19</v>
      </c>
      <c r="M224" s="79" t="s">
        <v>29</v>
      </c>
      <c r="N224" s="79" t="s">
        <v>20</v>
      </c>
      <c r="O224" s="79"/>
      <c r="P224" s="79">
        <v>3369</v>
      </c>
      <c r="Q224" s="79" t="s">
        <v>21</v>
      </c>
      <c r="R224" s="79" t="s">
        <v>61</v>
      </c>
      <c r="S224" s="79">
        <v>123456789</v>
      </c>
    </row>
    <row r="225" spans="1:19" x14ac:dyDescent="0.25">
      <c r="A225" s="79">
        <v>12345678</v>
      </c>
      <c r="B225" s="79" t="s">
        <v>516</v>
      </c>
      <c r="C225" s="82" t="s">
        <v>517</v>
      </c>
      <c r="D225" s="79">
        <v>123456</v>
      </c>
      <c r="E225" s="81">
        <v>12334567000189</v>
      </c>
      <c r="F225" s="79" t="s">
        <v>60</v>
      </c>
      <c r="G225" s="79" t="s">
        <v>23</v>
      </c>
      <c r="H225" s="79">
        <v>815.22</v>
      </c>
      <c r="I225" s="79">
        <v>785.6</v>
      </c>
      <c r="J225" s="79">
        <v>29.62</v>
      </c>
      <c r="K225" s="79" t="s">
        <v>28</v>
      </c>
      <c r="L225" s="79" t="s">
        <v>19</v>
      </c>
      <c r="M225" s="79" t="s">
        <v>27</v>
      </c>
      <c r="N225" s="79" t="s">
        <v>20</v>
      </c>
      <c r="O225" s="79"/>
      <c r="P225" s="79">
        <v>6431</v>
      </c>
      <c r="Q225" s="79" t="s">
        <v>72</v>
      </c>
      <c r="R225" s="79" t="s">
        <v>61</v>
      </c>
      <c r="S225" s="79">
        <v>123456789</v>
      </c>
    </row>
    <row r="226" spans="1:19" x14ac:dyDescent="0.25">
      <c r="A226" s="79">
        <v>12345678</v>
      </c>
      <c r="B226" s="79" t="s">
        <v>518</v>
      </c>
      <c r="C226" s="82" t="s">
        <v>519</v>
      </c>
      <c r="D226" s="79">
        <v>123456</v>
      </c>
      <c r="E226" s="81">
        <v>12334567000189</v>
      </c>
      <c r="F226" s="79" t="s">
        <v>60</v>
      </c>
      <c r="G226" s="79" t="s">
        <v>23</v>
      </c>
      <c r="H226" s="79">
        <v>249.56</v>
      </c>
      <c r="I226" s="79">
        <v>246.3</v>
      </c>
      <c r="J226" s="79">
        <v>3.26</v>
      </c>
      <c r="K226" s="79" t="s">
        <v>25</v>
      </c>
      <c r="L226" s="79" t="s">
        <v>19</v>
      </c>
      <c r="M226" s="79" t="s">
        <v>29</v>
      </c>
      <c r="N226" s="79" t="s">
        <v>20</v>
      </c>
      <c r="O226" s="79"/>
      <c r="P226" s="79">
        <v>4444</v>
      </c>
      <c r="Q226" s="79" t="s">
        <v>21</v>
      </c>
      <c r="R226" s="79" t="s">
        <v>61</v>
      </c>
      <c r="S226" s="79">
        <v>123456789</v>
      </c>
    </row>
    <row r="227" spans="1:19" x14ac:dyDescent="0.25">
      <c r="A227" s="79">
        <v>12345678</v>
      </c>
      <c r="B227" s="79" t="s">
        <v>520</v>
      </c>
      <c r="C227" s="82" t="s">
        <v>521</v>
      </c>
      <c r="D227" s="79">
        <v>123456</v>
      </c>
      <c r="E227" s="81">
        <v>12334567000189</v>
      </c>
      <c r="F227" s="79" t="s">
        <v>60</v>
      </c>
      <c r="G227" s="79" t="s">
        <v>23</v>
      </c>
      <c r="H227" s="79">
        <v>696.55</v>
      </c>
      <c r="I227" s="79">
        <v>665.82</v>
      </c>
      <c r="J227" s="79">
        <v>30.73</v>
      </c>
      <c r="K227" s="79" t="s">
        <v>28</v>
      </c>
      <c r="L227" s="79" t="s">
        <v>19</v>
      </c>
      <c r="M227" s="79" t="s">
        <v>89</v>
      </c>
      <c r="N227" s="79" t="s">
        <v>20</v>
      </c>
      <c r="O227" s="79"/>
      <c r="P227" s="79">
        <v>2333</v>
      </c>
      <c r="Q227" s="79" t="s">
        <v>102</v>
      </c>
      <c r="R227" s="79" t="s">
        <v>61</v>
      </c>
      <c r="S227" s="79">
        <v>123456789</v>
      </c>
    </row>
    <row r="228" spans="1:19" x14ac:dyDescent="0.25">
      <c r="A228" s="79">
        <v>12345678</v>
      </c>
      <c r="B228" s="79" t="s">
        <v>522</v>
      </c>
      <c r="C228" s="82" t="s">
        <v>523</v>
      </c>
      <c r="D228" s="79">
        <v>123456</v>
      </c>
      <c r="E228" s="81">
        <v>12334567000189</v>
      </c>
      <c r="F228" s="79" t="s">
        <v>60</v>
      </c>
      <c r="G228" s="79" t="s">
        <v>23</v>
      </c>
      <c r="H228" s="79">
        <v>58.56</v>
      </c>
      <c r="I228" s="79">
        <v>57.59</v>
      </c>
      <c r="J228" s="79">
        <v>0.97</v>
      </c>
      <c r="K228" s="79" t="s">
        <v>25</v>
      </c>
      <c r="L228" s="79" t="s">
        <v>19</v>
      </c>
      <c r="M228" s="79" t="s">
        <v>69</v>
      </c>
      <c r="N228" s="79" t="s">
        <v>20</v>
      </c>
      <c r="O228" s="79"/>
      <c r="P228" s="79">
        <v>2376</v>
      </c>
      <c r="Q228" s="79" t="s">
        <v>21</v>
      </c>
      <c r="R228" s="79" t="s">
        <v>61</v>
      </c>
      <c r="S228" s="79">
        <v>123456789</v>
      </c>
    </row>
    <row r="229" spans="1:19" x14ac:dyDescent="0.25">
      <c r="A229" s="79">
        <v>12345678</v>
      </c>
      <c r="B229" s="79" t="s">
        <v>524</v>
      </c>
      <c r="C229" s="82" t="s">
        <v>525</v>
      </c>
      <c r="D229" s="79">
        <v>123456</v>
      </c>
      <c r="E229" s="81">
        <v>12334567000189</v>
      </c>
      <c r="F229" s="79" t="s">
        <v>60</v>
      </c>
      <c r="G229" s="79" t="s">
        <v>23</v>
      </c>
      <c r="H229" s="79">
        <v>21.93</v>
      </c>
      <c r="I229" s="79">
        <v>21.1</v>
      </c>
      <c r="J229" s="79">
        <v>0.83</v>
      </c>
      <c r="K229" s="79" t="s">
        <v>28</v>
      </c>
      <c r="L229" s="79" t="s">
        <v>19</v>
      </c>
      <c r="M229" s="79" t="s">
        <v>26</v>
      </c>
      <c r="N229" s="79" t="s">
        <v>20</v>
      </c>
      <c r="O229" s="79"/>
      <c r="P229" s="79">
        <v>5496</v>
      </c>
      <c r="Q229" s="79" t="s">
        <v>21</v>
      </c>
      <c r="R229" s="79" t="s">
        <v>61</v>
      </c>
      <c r="S229" s="79">
        <v>123456789</v>
      </c>
    </row>
    <row r="230" spans="1:19" x14ac:dyDescent="0.25">
      <c r="A230" s="79">
        <v>12345678</v>
      </c>
      <c r="B230" s="79" t="s">
        <v>526</v>
      </c>
      <c r="C230" s="82" t="s">
        <v>527</v>
      </c>
      <c r="D230" s="79">
        <v>123456</v>
      </c>
      <c r="E230" s="81">
        <v>12334567000189</v>
      </c>
      <c r="F230" s="79" t="s">
        <v>60</v>
      </c>
      <c r="G230" s="79" t="s">
        <v>23</v>
      </c>
      <c r="H230" s="79">
        <v>257.95</v>
      </c>
      <c r="I230" s="79">
        <v>247.44</v>
      </c>
      <c r="J230" s="79">
        <v>10.51</v>
      </c>
      <c r="K230" s="79" t="s">
        <v>28</v>
      </c>
      <c r="L230" s="79" t="s">
        <v>19</v>
      </c>
      <c r="M230" s="79" t="s">
        <v>89</v>
      </c>
      <c r="N230" s="79" t="s">
        <v>20</v>
      </c>
      <c r="O230" s="79"/>
      <c r="P230" s="79">
        <v>7843</v>
      </c>
      <c r="Q230" s="79" t="s">
        <v>102</v>
      </c>
      <c r="R230" s="79" t="s">
        <v>61</v>
      </c>
      <c r="S230" s="79">
        <v>123456789</v>
      </c>
    </row>
    <row r="231" spans="1:19" x14ac:dyDescent="0.25">
      <c r="A231" s="79">
        <v>12345678</v>
      </c>
      <c r="B231" s="79" t="s">
        <v>528</v>
      </c>
      <c r="C231" s="82" t="s">
        <v>529</v>
      </c>
      <c r="D231" s="79">
        <v>123456</v>
      </c>
      <c r="E231" s="81">
        <v>12334567000189</v>
      </c>
      <c r="F231" s="79" t="s">
        <v>60</v>
      </c>
      <c r="G231" s="79" t="s">
        <v>23</v>
      </c>
      <c r="H231" s="79">
        <v>118.66</v>
      </c>
      <c r="I231" s="79">
        <v>114.07</v>
      </c>
      <c r="J231" s="79">
        <v>4.59</v>
      </c>
      <c r="K231" s="79" t="s">
        <v>28</v>
      </c>
      <c r="L231" s="79" t="s">
        <v>19</v>
      </c>
      <c r="M231" s="79" t="s">
        <v>27</v>
      </c>
      <c r="N231" s="79" t="s">
        <v>20</v>
      </c>
      <c r="O231" s="79"/>
      <c r="P231" s="79">
        <v>7331</v>
      </c>
      <c r="Q231" s="79" t="s">
        <v>21</v>
      </c>
      <c r="R231" s="79" t="s">
        <v>61</v>
      </c>
      <c r="S231" s="79">
        <v>123456789</v>
      </c>
    </row>
    <row r="232" spans="1:19" x14ac:dyDescent="0.25">
      <c r="A232" s="79">
        <v>12345678</v>
      </c>
      <c r="B232" s="79" t="s">
        <v>530</v>
      </c>
      <c r="C232" s="82" t="s">
        <v>531</v>
      </c>
      <c r="D232" s="79">
        <v>123456</v>
      </c>
      <c r="E232" s="81">
        <v>12334567000189</v>
      </c>
      <c r="F232" s="79" t="s">
        <v>60</v>
      </c>
      <c r="G232" s="79" t="s">
        <v>23</v>
      </c>
      <c r="H232" s="79">
        <v>140.94999999999999</v>
      </c>
      <c r="I232" s="79">
        <v>134.83000000000001</v>
      </c>
      <c r="J232" s="79">
        <v>6.12</v>
      </c>
      <c r="K232" s="79" t="s">
        <v>28</v>
      </c>
      <c r="L232" s="79" t="s">
        <v>19</v>
      </c>
      <c r="M232" s="79" t="s">
        <v>29</v>
      </c>
      <c r="N232" s="79" t="s">
        <v>20</v>
      </c>
      <c r="O232" s="79"/>
      <c r="P232" s="79">
        <v>4369</v>
      </c>
      <c r="Q232" s="79" t="s">
        <v>21</v>
      </c>
      <c r="R232" s="79" t="s">
        <v>61</v>
      </c>
      <c r="S232" s="79">
        <v>123456789</v>
      </c>
    </row>
    <row r="233" spans="1:19" x14ac:dyDescent="0.25">
      <c r="A233" s="79">
        <v>12345678</v>
      </c>
      <c r="B233" s="79" t="s">
        <v>532</v>
      </c>
      <c r="C233" s="82" t="s">
        <v>533</v>
      </c>
      <c r="D233" s="79">
        <v>123456</v>
      </c>
      <c r="E233" s="81">
        <v>12334567000189</v>
      </c>
      <c r="F233" s="79" t="s">
        <v>60</v>
      </c>
      <c r="G233" s="79" t="s">
        <v>23</v>
      </c>
      <c r="H233" s="79">
        <v>56.05</v>
      </c>
      <c r="I233" s="79">
        <v>53.88</v>
      </c>
      <c r="J233" s="79">
        <v>2.17</v>
      </c>
      <c r="K233" s="79" t="s">
        <v>28</v>
      </c>
      <c r="L233" s="79" t="s">
        <v>19</v>
      </c>
      <c r="M233" s="79" t="s">
        <v>26</v>
      </c>
      <c r="N233" s="79" t="s">
        <v>20</v>
      </c>
      <c r="O233" s="79"/>
      <c r="P233" s="79">
        <v>8079</v>
      </c>
      <c r="Q233" s="79" t="s">
        <v>21</v>
      </c>
      <c r="R233" s="79" t="s">
        <v>61</v>
      </c>
      <c r="S233" s="79">
        <v>123456789</v>
      </c>
    </row>
    <row r="234" spans="1:19" x14ac:dyDescent="0.25">
      <c r="A234" s="79">
        <v>12345678</v>
      </c>
      <c r="B234" s="79" t="s">
        <v>534</v>
      </c>
      <c r="C234" s="82" t="s">
        <v>535</v>
      </c>
      <c r="D234" s="79">
        <v>123456</v>
      </c>
      <c r="E234" s="81">
        <v>12334567000189</v>
      </c>
      <c r="F234" s="79" t="s">
        <v>60</v>
      </c>
      <c r="G234" s="79" t="s">
        <v>23</v>
      </c>
      <c r="H234" s="79">
        <v>174.9</v>
      </c>
      <c r="I234" s="79">
        <v>168.62</v>
      </c>
      <c r="J234" s="79">
        <v>6.28</v>
      </c>
      <c r="K234" s="79" t="s">
        <v>28</v>
      </c>
      <c r="L234" s="79" t="s">
        <v>19</v>
      </c>
      <c r="M234" s="79" t="s">
        <v>29</v>
      </c>
      <c r="N234" s="79" t="s">
        <v>20</v>
      </c>
      <c r="O234" s="79"/>
      <c r="P234" s="79">
        <v>7542</v>
      </c>
      <c r="Q234" s="79" t="s">
        <v>21</v>
      </c>
      <c r="R234" s="79" t="s">
        <v>61</v>
      </c>
      <c r="S234" s="79">
        <v>123456789</v>
      </c>
    </row>
    <row r="235" spans="1:19" x14ac:dyDescent="0.25">
      <c r="A235" s="79">
        <v>12345678</v>
      </c>
      <c r="B235" s="79" t="s">
        <v>536</v>
      </c>
      <c r="C235" s="82" t="s">
        <v>537</v>
      </c>
      <c r="D235" s="79">
        <v>123456</v>
      </c>
      <c r="E235" s="81">
        <v>12334567000189</v>
      </c>
      <c r="F235" s="79" t="s">
        <v>60</v>
      </c>
      <c r="G235" s="79" t="s">
        <v>23</v>
      </c>
      <c r="H235" s="79">
        <v>43.26</v>
      </c>
      <c r="I235" s="79">
        <v>42.34</v>
      </c>
      <c r="J235" s="79">
        <v>0.92</v>
      </c>
      <c r="K235" s="79" t="s">
        <v>25</v>
      </c>
      <c r="L235" s="79" t="s">
        <v>19</v>
      </c>
      <c r="M235" s="79" t="s">
        <v>26</v>
      </c>
      <c r="N235" s="79" t="s">
        <v>20</v>
      </c>
      <c r="O235" s="79"/>
      <c r="P235" s="79">
        <v>8242</v>
      </c>
      <c r="Q235" s="79" t="s">
        <v>21</v>
      </c>
      <c r="R235" s="79" t="s">
        <v>61</v>
      </c>
      <c r="S235" s="79">
        <v>123456789</v>
      </c>
    </row>
    <row r="236" spans="1:19" x14ac:dyDescent="0.25">
      <c r="A236" s="79">
        <v>12345678</v>
      </c>
      <c r="B236" s="79" t="s">
        <v>538</v>
      </c>
      <c r="C236" s="82" t="s">
        <v>539</v>
      </c>
      <c r="D236" s="79">
        <v>123456</v>
      </c>
      <c r="E236" s="81">
        <v>12334567000189</v>
      </c>
      <c r="F236" s="79" t="s">
        <v>60</v>
      </c>
      <c r="G236" s="79" t="s">
        <v>23</v>
      </c>
      <c r="H236" s="79">
        <v>684.61</v>
      </c>
      <c r="I236" s="79">
        <v>671.3</v>
      </c>
      <c r="J236" s="79">
        <v>13.31</v>
      </c>
      <c r="K236" s="79" t="s">
        <v>25</v>
      </c>
      <c r="L236" s="79" t="s">
        <v>19</v>
      </c>
      <c r="M236" s="79" t="s">
        <v>29</v>
      </c>
      <c r="N236" s="79" t="s">
        <v>20</v>
      </c>
      <c r="O236" s="79"/>
      <c r="P236" s="79">
        <v>4105</v>
      </c>
      <c r="Q236" s="79" t="s">
        <v>21</v>
      </c>
      <c r="R236" s="79" t="s">
        <v>61</v>
      </c>
      <c r="S236" s="79">
        <v>123456789</v>
      </c>
    </row>
    <row r="237" spans="1:19" x14ac:dyDescent="0.25">
      <c r="A237" s="79">
        <v>12345678</v>
      </c>
      <c r="B237" s="79" t="s">
        <v>540</v>
      </c>
      <c r="C237" s="82" t="s">
        <v>541</v>
      </c>
      <c r="D237" s="79">
        <v>123456</v>
      </c>
      <c r="E237" s="81">
        <v>12334567000189</v>
      </c>
      <c r="F237" s="79" t="s">
        <v>60</v>
      </c>
      <c r="G237" s="79" t="s">
        <v>23</v>
      </c>
      <c r="H237" s="79">
        <v>134.09</v>
      </c>
      <c r="I237" s="79">
        <v>132.07</v>
      </c>
      <c r="J237" s="79">
        <v>2.02</v>
      </c>
      <c r="K237" s="79" t="s">
        <v>25</v>
      </c>
      <c r="L237" s="79" t="s">
        <v>19</v>
      </c>
      <c r="M237" s="79" t="s">
        <v>29</v>
      </c>
      <c r="N237" s="79" t="s">
        <v>20</v>
      </c>
      <c r="O237" s="79"/>
      <c r="P237" s="79">
        <v>3177</v>
      </c>
      <c r="Q237" s="79" t="s">
        <v>21</v>
      </c>
      <c r="R237" s="79" t="s">
        <v>61</v>
      </c>
      <c r="S237" s="79">
        <v>123456789</v>
      </c>
    </row>
    <row r="238" spans="1:19" x14ac:dyDescent="0.25">
      <c r="A238" s="79">
        <v>12345678</v>
      </c>
      <c r="B238" s="79" t="s">
        <v>542</v>
      </c>
      <c r="C238" s="82" t="s">
        <v>543</v>
      </c>
      <c r="D238" s="79">
        <v>123456</v>
      </c>
      <c r="E238" s="81">
        <v>12334567000189</v>
      </c>
      <c r="F238" s="79" t="s">
        <v>60</v>
      </c>
      <c r="G238" s="79" t="s">
        <v>23</v>
      </c>
      <c r="H238" s="79">
        <v>490.78</v>
      </c>
      <c r="I238" s="79">
        <v>469.79</v>
      </c>
      <c r="J238" s="79">
        <v>20.99</v>
      </c>
      <c r="K238" s="79" t="s">
        <v>28</v>
      </c>
      <c r="L238" s="79" t="s">
        <v>19</v>
      </c>
      <c r="M238" s="79" t="s">
        <v>24</v>
      </c>
      <c r="N238" s="79" t="s">
        <v>20</v>
      </c>
      <c r="O238" s="79"/>
      <c r="P238" s="79">
        <v>6385</v>
      </c>
      <c r="Q238" s="79" t="s">
        <v>21</v>
      </c>
      <c r="R238" s="79" t="s">
        <v>61</v>
      </c>
      <c r="S238" s="79">
        <v>123456789</v>
      </c>
    </row>
    <row r="239" spans="1:19" x14ac:dyDescent="0.25">
      <c r="A239" s="79">
        <v>12345678</v>
      </c>
      <c r="B239" s="79" t="s">
        <v>544</v>
      </c>
      <c r="C239" s="82" t="s">
        <v>545</v>
      </c>
      <c r="D239" s="79">
        <v>123456</v>
      </c>
      <c r="E239" s="81">
        <v>12334567000189</v>
      </c>
      <c r="F239" s="79" t="s">
        <v>60</v>
      </c>
      <c r="G239" s="79" t="s">
        <v>23</v>
      </c>
      <c r="H239" s="79">
        <v>21.49</v>
      </c>
      <c r="I239" s="79">
        <v>20.59</v>
      </c>
      <c r="J239" s="79">
        <v>0.9</v>
      </c>
      <c r="K239" s="79" t="s">
        <v>28</v>
      </c>
      <c r="L239" s="79" t="s">
        <v>19</v>
      </c>
      <c r="M239" s="79" t="s">
        <v>24</v>
      </c>
      <c r="N239" s="79" t="s">
        <v>20</v>
      </c>
      <c r="O239" s="79"/>
      <c r="P239" s="79">
        <v>4348</v>
      </c>
      <c r="Q239" s="79" t="s">
        <v>21</v>
      </c>
      <c r="R239" s="79" t="s">
        <v>61</v>
      </c>
      <c r="S239" s="79">
        <v>123456789</v>
      </c>
    </row>
    <row r="240" spans="1:19" x14ac:dyDescent="0.25">
      <c r="A240" s="79">
        <v>12345678</v>
      </c>
      <c r="B240" s="79" t="s">
        <v>546</v>
      </c>
      <c r="C240" s="82" t="s">
        <v>547</v>
      </c>
      <c r="D240" s="79">
        <v>123456</v>
      </c>
      <c r="E240" s="81">
        <v>12334567000189</v>
      </c>
      <c r="F240" s="79" t="s">
        <v>60</v>
      </c>
      <c r="G240" s="79" t="s">
        <v>23</v>
      </c>
      <c r="H240" s="79">
        <v>100.32</v>
      </c>
      <c r="I240" s="79">
        <v>96.22</v>
      </c>
      <c r="J240" s="79">
        <v>4.0999999999999996</v>
      </c>
      <c r="K240" s="79" t="s">
        <v>28</v>
      </c>
      <c r="L240" s="79" t="s">
        <v>19</v>
      </c>
      <c r="M240" s="79" t="s">
        <v>27</v>
      </c>
      <c r="N240" s="79" t="s">
        <v>20</v>
      </c>
      <c r="O240" s="79"/>
      <c r="P240" s="79">
        <v>3878</v>
      </c>
      <c r="Q240" s="79" t="s">
        <v>21</v>
      </c>
      <c r="R240" s="79" t="s">
        <v>61</v>
      </c>
      <c r="S240" s="79">
        <v>123456789</v>
      </c>
    </row>
    <row r="241" spans="1:19" x14ac:dyDescent="0.25">
      <c r="A241" s="79">
        <v>12345678</v>
      </c>
      <c r="B241" s="79" t="s">
        <v>548</v>
      </c>
      <c r="C241" s="82" t="s">
        <v>549</v>
      </c>
      <c r="D241" s="79">
        <v>123456</v>
      </c>
      <c r="E241" s="81">
        <v>12334567000189</v>
      </c>
      <c r="F241" s="79" t="s">
        <v>60</v>
      </c>
      <c r="G241" s="79" t="s">
        <v>23</v>
      </c>
      <c r="H241" s="79">
        <v>118.79</v>
      </c>
      <c r="I241" s="79">
        <v>114.15</v>
      </c>
      <c r="J241" s="79">
        <v>4.6399999999999997</v>
      </c>
      <c r="K241" s="79" t="s">
        <v>28</v>
      </c>
      <c r="L241" s="79" t="s">
        <v>19</v>
      </c>
      <c r="M241" s="79" t="s">
        <v>29</v>
      </c>
      <c r="N241" s="79" t="s">
        <v>20</v>
      </c>
      <c r="O241" s="79"/>
      <c r="P241" s="79">
        <v>6711</v>
      </c>
      <c r="Q241" s="79" t="s">
        <v>21</v>
      </c>
      <c r="R241" s="79" t="s">
        <v>61</v>
      </c>
      <c r="S241" s="79">
        <v>123456789</v>
      </c>
    </row>
    <row r="242" spans="1:19" x14ac:dyDescent="0.25">
      <c r="A242" s="79">
        <v>12345678</v>
      </c>
      <c r="B242" s="79" t="s">
        <v>550</v>
      </c>
      <c r="C242" s="82" t="s">
        <v>551</v>
      </c>
      <c r="D242" s="79">
        <v>123456</v>
      </c>
      <c r="E242" s="81">
        <v>12334567000189</v>
      </c>
      <c r="F242" s="79" t="s">
        <v>60</v>
      </c>
      <c r="G242" s="79" t="s">
        <v>23</v>
      </c>
      <c r="H242" s="79">
        <v>211.97</v>
      </c>
      <c r="I242" s="79">
        <v>203.54</v>
      </c>
      <c r="J242" s="79">
        <v>8.43</v>
      </c>
      <c r="K242" s="79" t="s">
        <v>28</v>
      </c>
      <c r="L242" s="79" t="s">
        <v>19</v>
      </c>
      <c r="M242" s="79" t="s">
        <v>24</v>
      </c>
      <c r="N242" s="79" t="s">
        <v>20</v>
      </c>
      <c r="O242" s="79"/>
      <c r="P242" s="79">
        <v>7993</v>
      </c>
      <c r="Q242" s="79" t="s">
        <v>62</v>
      </c>
      <c r="R242" s="79" t="s">
        <v>61</v>
      </c>
      <c r="S242" s="79">
        <v>123456789</v>
      </c>
    </row>
    <row r="243" spans="1:19" x14ac:dyDescent="0.25">
      <c r="A243" s="79">
        <v>12345678</v>
      </c>
      <c r="B243" s="79" t="s">
        <v>552</v>
      </c>
      <c r="C243" s="82" t="s">
        <v>553</v>
      </c>
      <c r="D243" s="79">
        <v>123456</v>
      </c>
      <c r="E243" s="81">
        <v>12334567000189</v>
      </c>
      <c r="F243" s="79" t="s">
        <v>60</v>
      </c>
      <c r="G243" s="79" t="s">
        <v>23</v>
      </c>
      <c r="H243" s="79">
        <v>1295.0899999999999</v>
      </c>
      <c r="I243" s="79">
        <v>1248.8</v>
      </c>
      <c r="J243" s="79">
        <v>46.29</v>
      </c>
      <c r="K243" s="79" t="s">
        <v>28</v>
      </c>
      <c r="L243" s="79" t="s">
        <v>19</v>
      </c>
      <c r="M243" s="79" t="s">
        <v>26</v>
      </c>
      <c r="N243" s="79" t="s">
        <v>20</v>
      </c>
      <c r="O243" s="79"/>
      <c r="P243" s="79">
        <v>9234</v>
      </c>
      <c r="Q243" s="79" t="s">
        <v>62</v>
      </c>
      <c r="R243" s="79" t="s">
        <v>61</v>
      </c>
      <c r="S243" s="79">
        <v>123456789</v>
      </c>
    </row>
    <row r="244" spans="1:19" x14ac:dyDescent="0.25">
      <c r="A244" s="79">
        <v>12345678</v>
      </c>
      <c r="B244" s="79" t="s">
        <v>554</v>
      </c>
      <c r="C244" s="82" t="s">
        <v>555</v>
      </c>
      <c r="D244" s="79">
        <v>123456</v>
      </c>
      <c r="E244" s="81">
        <v>12334567000189</v>
      </c>
      <c r="F244" s="79" t="s">
        <v>60</v>
      </c>
      <c r="G244" s="79" t="s">
        <v>23</v>
      </c>
      <c r="H244" s="79">
        <v>411.38</v>
      </c>
      <c r="I244" s="79">
        <v>407.99</v>
      </c>
      <c r="J244" s="79">
        <v>3.39</v>
      </c>
      <c r="K244" s="79" t="s">
        <v>22</v>
      </c>
      <c r="L244" s="79" t="s">
        <v>19</v>
      </c>
      <c r="M244" s="79" t="s">
        <v>19</v>
      </c>
      <c r="N244" s="79" t="s">
        <v>20</v>
      </c>
      <c r="O244" s="79"/>
      <c r="P244" s="79">
        <v>1118</v>
      </c>
      <c r="Q244" s="79" t="s">
        <v>21</v>
      </c>
      <c r="R244" s="79" t="s">
        <v>61</v>
      </c>
      <c r="S244" s="79">
        <v>123456789</v>
      </c>
    </row>
    <row r="245" spans="1:19" x14ac:dyDescent="0.25">
      <c r="A245" s="79">
        <v>12345678</v>
      </c>
      <c r="B245" s="79" t="s">
        <v>556</v>
      </c>
      <c r="C245" s="82" t="s">
        <v>557</v>
      </c>
      <c r="D245" s="79">
        <v>123456</v>
      </c>
      <c r="E245" s="81">
        <v>12334567000189</v>
      </c>
      <c r="F245" s="79" t="s">
        <v>60</v>
      </c>
      <c r="G245" s="79" t="s">
        <v>23</v>
      </c>
      <c r="H245" s="79">
        <v>1059.5</v>
      </c>
      <c r="I245" s="79">
        <v>1019.99</v>
      </c>
      <c r="J245" s="79">
        <v>39.51</v>
      </c>
      <c r="K245" s="79" t="s">
        <v>28</v>
      </c>
      <c r="L245" s="79" t="s">
        <v>19</v>
      </c>
      <c r="M245" s="79" t="s">
        <v>26</v>
      </c>
      <c r="N245" s="79" t="s">
        <v>20</v>
      </c>
      <c r="O245" s="79"/>
      <c r="P245" s="79">
        <v>8785</v>
      </c>
      <c r="Q245" s="79" t="s">
        <v>21</v>
      </c>
      <c r="R245" s="79" t="s">
        <v>61</v>
      </c>
      <c r="S245" s="79">
        <v>123456789</v>
      </c>
    </row>
    <row r="246" spans="1:19" x14ac:dyDescent="0.25">
      <c r="A246" s="79">
        <v>12345678</v>
      </c>
      <c r="B246" s="79" t="s">
        <v>558</v>
      </c>
      <c r="C246" s="82" t="s">
        <v>559</v>
      </c>
      <c r="D246" s="79">
        <v>123456</v>
      </c>
      <c r="E246" s="81">
        <v>12334567000189</v>
      </c>
      <c r="F246" s="79" t="s">
        <v>60</v>
      </c>
      <c r="G246" s="79" t="s">
        <v>23</v>
      </c>
      <c r="H246" s="79">
        <v>195.04</v>
      </c>
      <c r="I246" s="79">
        <v>186.43</v>
      </c>
      <c r="J246" s="79">
        <v>8.61</v>
      </c>
      <c r="K246" s="79" t="s">
        <v>28</v>
      </c>
      <c r="L246" s="79" t="s">
        <v>19</v>
      </c>
      <c r="M246" s="79" t="s">
        <v>26</v>
      </c>
      <c r="N246" s="79" t="s">
        <v>20</v>
      </c>
      <c r="O246" s="79"/>
      <c r="P246" s="79">
        <v>2426</v>
      </c>
      <c r="Q246" s="79" t="s">
        <v>21</v>
      </c>
      <c r="R246" s="79" t="s">
        <v>61</v>
      </c>
      <c r="S246" s="79">
        <v>123456789</v>
      </c>
    </row>
    <row r="247" spans="1:19" x14ac:dyDescent="0.25">
      <c r="A247" s="79">
        <v>12345678</v>
      </c>
      <c r="B247" s="79" t="s">
        <v>560</v>
      </c>
      <c r="C247" s="82" t="s">
        <v>561</v>
      </c>
      <c r="D247" s="79">
        <v>123456</v>
      </c>
      <c r="E247" s="81">
        <v>12334567000189</v>
      </c>
      <c r="F247" s="79" t="s">
        <v>60</v>
      </c>
      <c r="G247" s="79" t="s">
        <v>23</v>
      </c>
      <c r="H247" s="79">
        <v>263.69</v>
      </c>
      <c r="I247" s="79">
        <v>255.11</v>
      </c>
      <c r="J247" s="79">
        <v>8.58</v>
      </c>
      <c r="K247" s="79" t="s">
        <v>28</v>
      </c>
      <c r="L247" s="79" t="s">
        <v>19</v>
      </c>
      <c r="M247" s="79" t="s">
        <v>24</v>
      </c>
      <c r="N247" s="79" t="s">
        <v>20</v>
      </c>
      <c r="O247" s="79"/>
      <c r="P247" s="79">
        <v>2059</v>
      </c>
      <c r="Q247" s="79" t="s">
        <v>72</v>
      </c>
      <c r="R247" s="79" t="s">
        <v>61</v>
      </c>
      <c r="S247" s="79">
        <v>123456789</v>
      </c>
    </row>
    <row r="248" spans="1:19" x14ac:dyDescent="0.25">
      <c r="A248" s="79">
        <v>12345678</v>
      </c>
      <c r="B248" s="79" t="s">
        <v>562</v>
      </c>
      <c r="C248" s="82" t="s">
        <v>563</v>
      </c>
      <c r="D248" s="79">
        <v>123456</v>
      </c>
      <c r="E248" s="81">
        <v>12334567000189</v>
      </c>
      <c r="F248" s="79" t="s">
        <v>60</v>
      </c>
      <c r="G248" s="79" t="s">
        <v>23</v>
      </c>
      <c r="H248" s="79">
        <v>223.44</v>
      </c>
      <c r="I248" s="79">
        <v>219.77</v>
      </c>
      <c r="J248" s="79">
        <v>3.67</v>
      </c>
      <c r="K248" s="79" t="s">
        <v>25</v>
      </c>
      <c r="L248" s="79" t="s">
        <v>19</v>
      </c>
      <c r="M248" s="79" t="s">
        <v>69</v>
      </c>
      <c r="N248" s="79" t="s">
        <v>20</v>
      </c>
      <c r="O248" s="79"/>
      <c r="P248" s="79">
        <v>3069</v>
      </c>
      <c r="Q248" s="79" t="s">
        <v>21</v>
      </c>
      <c r="R248" s="79" t="s">
        <v>61</v>
      </c>
      <c r="S248" s="79">
        <v>123456789</v>
      </c>
    </row>
    <row r="249" spans="1:19" x14ac:dyDescent="0.25">
      <c r="A249" s="79">
        <v>12345678</v>
      </c>
      <c r="B249" s="79" t="s">
        <v>564</v>
      </c>
      <c r="C249" s="82" t="s">
        <v>565</v>
      </c>
      <c r="D249" s="79">
        <v>123456</v>
      </c>
      <c r="E249" s="81">
        <v>12334567000189</v>
      </c>
      <c r="F249" s="79" t="s">
        <v>60</v>
      </c>
      <c r="G249" s="79" t="s">
        <v>23</v>
      </c>
      <c r="H249" s="79">
        <v>124.64</v>
      </c>
      <c r="I249" s="79">
        <v>119.89</v>
      </c>
      <c r="J249" s="79">
        <v>4.75</v>
      </c>
      <c r="K249" s="79" t="s">
        <v>28</v>
      </c>
      <c r="L249" s="79" t="s">
        <v>19</v>
      </c>
      <c r="M249" s="79" t="s">
        <v>24</v>
      </c>
      <c r="N249" s="79" t="s">
        <v>20</v>
      </c>
      <c r="O249" s="79"/>
      <c r="P249" s="79">
        <v>4687</v>
      </c>
      <c r="Q249" s="79" t="s">
        <v>21</v>
      </c>
      <c r="R249" s="79" t="s">
        <v>61</v>
      </c>
      <c r="S249" s="79">
        <v>123456789</v>
      </c>
    </row>
    <row r="250" spans="1:19" x14ac:dyDescent="0.25">
      <c r="A250" s="79">
        <v>12345678</v>
      </c>
      <c r="B250" s="79" t="s">
        <v>566</v>
      </c>
      <c r="C250" s="82" t="s">
        <v>567</v>
      </c>
      <c r="D250" s="79">
        <v>123456</v>
      </c>
      <c r="E250" s="81">
        <v>12334567000189</v>
      </c>
      <c r="F250" s="79" t="s">
        <v>60</v>
      </c>
      <c r="G250" s="79" t="s">
        <v>23</v>
      </c>
      <c r="H250" s="79">
        <v>407.41</v>
      </c>
      <c r="I250" s="79">
        <v>400.33</v>
      </c>
      <c r="J250" s="79">
        <v>7.08</v>
      </c>
      <c r="K250" s="79" t="s">
        <v>25</v>
      </c>
      <c r="L250" s="79" t="s">
        <v>19</v>
      </c>
      <c r="M250" s="79" t="s">
        <v>24</v>
      </c>
      <c r="N250" s="79" t="s">
        <v>20</v>
      </c>
      <c r="O250" s="79"/>
      <c r="P250" s="79">
        <v>3253</v>
      </c>
      <c r="Q250" s="79" t="s">
        <v>21</v>
      </c>
      <c r="R250" s="79" t="s">
        <v>61</v>
      </c>
      <c r="S250" s="79">
        <v>123456789</v>
      </c>
    </row>
    <row r="251" spans="1:19" x14ac:dyDescent="0.25">
      <c r="A251" s="79">
        <v>12345678</v>
      </c>
      <c r="B251" s="79" t="s">
        <v>568</v>
      </c>
      <c r="C251" s="82" t="s">
        <v>569</v>
      </c>
      <c r="D251" s="79">
        <v>123456</v>
      </c>
      <c r="E251" s="81">
        <v>12334567000189</v>
      </c>
      <c r="F251" s="79" t="s">
        <v>60</v>
      </c>
      <c r="G251" s="79" t="s">
        <v>23</v>
      </c>
      <c r="H251" s="79">
        <v>425.86</v>
      </c>
      <c r="I251" s="79">
        <v>407.95</v>
      </c>
      <c r="J251" s="79">
        <v>17.91</v>
      </c>
      <c r="K251" s="79" t="s">
        <v>28</v>
      </c>
      <c r="L251" s="79" t="s">
        <v>19</v>
      </c>
      <c r="M251" s="79" t="s">
        <v>27</v>
      </c>
      <c r="N251" s="79" t="s">
        <v>20</v>
      </c>
      <c r="O251" s="79"/>
      <c r="P251" s="79">
        <v>3826</v>
      </c>
      <c r="Q251" s="79" t="s">
        <v>62</v>
      </c>
      <c r="R251" s="79" t="s">
        <v>61</v>
      </c>
      <c r="S251" s="79">
        <v>123456789</v>
      </c>
    </row>
    <row r="252" spans="1:19" x14ac:dyDescent="0.25">
      <c r="A252" s="79">
        <v>12345678</v>
      </c>
      <c r="B252" s="79" t="s">
        <v>570</v>
      </c>
      <c r="C252" s="82" t="s">
        <v>571</v>
      </c>
      <c r="D252" s="79">
        <v>123456</v>
      </c>
      <c r="E252" s="81">
        <v>12334567000189</v>
      </c>
      <c r="F252" s="79" t="s">
        <v>60</v>
      </c>
      <c r="G252" s="79" t="s">
        <v>23</v>
      </c>
      <c r="H252" s="79">
        <v>240.64</v>
      </c>
      <c r="I252" s="79">
        <v>236.09</v>
      </c>
      <c r="J252" s="79">
        <v>4.55</v>
      </c>
      <c r="K252" s="79" t="s">
        <v>25</v>
      </c>
      <c r="L252" s="79" t="s">
        <v>19</v>
      </c>
      <c r="M252" s="79" t="s">
        <v>24</v>
      </c>
      <c r="N252" s="79" t="s">
        <v>20</v>
      </c>
      <c r="O252" s="79"/>
      <c r="P252" s="79">
        <v>9806</v>
      </c>
      <c r="Q252" s="79" t="s">
        <v>21</v>
      </c>
      <c r="R252" s="79" t="s">
        <v>61</v>
      </c>
      <c r="S252" s="79">
        <v>123456789</v>
      </c>
    </row>
    <row r="253" spans="1:19" x14ac:dyDescent="0.25">
      <c r="A253" s="79">
        <v>12345678</v>
      </c>
      <c r="B253" s="79" t="s">
        <v>572</v>
      </c>
      <c r="C253" s="82" t="s">
        <v>573</v>
      </c>
      <c r="D253" s="79">
        <v>123456</v>
      </c>
      <c r="E253" s="81">
        <v>12334567000189</v>
      </c>
      <c r="F253" s="79" t="s">
        <v>60</v>
      </c>
      <c r="G253" s="79" t="s">
        <v>23</v>
      </c>
      <c r="H253" s="79">
        <v>171.26</v>
      </c>
      <c r="I253" s="79">
        <v>164.74</v>
      </c>
      <c r="J253" s="79">
        <v>6.52</v>
      </c>
      <c r="K253" s="79" t="s">
        <v>28</v>
      </c>
      <c r="L253" s="79" t="s">
        <v>19</v>
      </c>
      <c r="M253" s="79" t="s">
        <v>89</v>
      </c>
      <c r="N253" s="79" t="s">
        <v>20</v>
      </c>
      <c r="O253" s="79"/>
      <c r="P253" s="79">
        <v>7931</v>
      </c>
      <c r="Q253" s="79" t="s">
        <v>21</v>
      </c>
      <c r="R253" s="79" t="s">
        <v>61</v>
      </c>
      <c r="S253" s="79">
        <v>123456789</v>
      </c>
    </row>
    <row r="254" spans="1:19" x14ac:dyDescent="0.25">
      <c r="A254" s="79">
        <v>12345678</v>
      </c>
      <c r="B254" s="79" t="s">
        <v>574</v>
      </c>
      <c r="C254" s="82" t="s">
        <v>575</v>
      </c>
      <c r="D254" s="79">
        <v>123456</v>
      </c>
      <c r="E254" s="81">
        <v>12334567000189</v>
      </c>
      <c r="F254" s="79" t="s">
        <v>60</v>
      </c>
      <c r="G254" s="79" t="s">
        <v>23</v>
      </c>
      <c r="H254" s="79">
        <v>23.39</v>
      </c>
      <c r="I254" s="79">
        <v>23.11</v>
      </c>
      <c r="J254" s="79">
        <v>0.28000000000000003</v>
      </c>
      <c r="K254" s="79" t="s">
        <v>22</v>
      </c>
      <c r="L254" s="79" t="s">
        <v>19</v>
      </c>
      <c r="M254" s="79" t="s">
        <v>19</v>
      </c>
      <c r="N254" s="79" t="s">
        <v>20</v>
      </c>
      <c r="O254" s="79"/>
      <c r="P254" s="79">
        <v>5270</v>
      </c>
      <c r="Q254" s="79" t="s">
        <v>21</v>
      </c>
      <c r="R254" s="79" t="s">
        <v>61</v>
      </c>
      <c r="S254" s="79">
        <v>123456789</v>
      </c>
    </row>
    <row r="255" spans="1:19" x14ac:dyDescent="0.25">
      <c r="A255" s="79">
        <v>12345678</v>
      </c>
      <c r="B255" s="79" t="s">
        <v>576</v>
      </c>
      <c r="C255" s="82" t="s">
        <v>577</v>
      </c>
      <c r="D255" s="79">
        <v>123456</v>
      </c>
      <c r="E255" s="81">
        <v>12334567000189</v>
      </c>
      <c r="F255" s="79" t="s">
        <v>60</v>
      </c>
      <c r="G255" s="79" t="s">
        <v>23</v>
      </c>
      <c r="H255" s="79">
        <v>34.14</v>
      </c>
      <c r="I255" s="79">
        <v>32.99</v>
      </c>
      <c r="J255" s="79">
        <v>1.1499999999999999</v>
      </c>
      <c r="K255" s="79" t="s">
        <v>28</v>
      </c>
      <c r="L255" s="79" t="s">
        <v>19</v>
      </c>
      <c r="M255" s="79" t="s">
        <v>24</v>
      </c>
      <c r="N255" s="79" t="s">
        <v>20</v>
      </c>
      <c r="O255" s="79"/>
      <c r="P255" s="79">
        <v>5476</v>
      </c>
      <c r="Q255" s="79" t="s">
        <v>102</v>
      </c>
      <c r="R255" s="79" t="s">
        <v>61</v>
      </c>
      <c r="S255" s="79">
        <v>123456789</v>
      </c>
    </row>
    <row r="256" spans="1:19" x14ac:dyDescent="0.25">
      <c r="A256" s="79">
        <v>12345678</v>
      </c>
      <c r="B256" s="79" t="s">
        <v>578</v>
      </c>
      <c r="C256" s="82" t="s">
        <v>579</v>
      </c>
      <c r="D256" s="79">
        <v>123456</v>
      </c>
      <c r="E256" s="81">
        <v>12334567000189</v>
      </c>
      <c r="F256" s="79" t="s">
        <v>60</v>
      </c>
      <c r="G256" s="79" t="s">
        <v>23</v>
      </c>
      <c r="H256" s="79">
        <v>38.4</v>
      </c>
      <c r="I256" s="79">
        <v>36.68</v>
      </c>
      <c r="J256" s="79">
        <v>1.72</v>
      </c>
      <c r="K256" s="79" t="s">
        <v>28</v>
      </c>
      <c r="L256" s="79" t="s">
        <v>19</v>
      </c>
      <c r="M256" s="79" t="s">
        <v>27</v>
      </c>
      <c r="N256" s="79" t="s">
        <v>20</v>
      </c>
      <c r="O256" s="79"/>
      <c r="P256" s="79">
        <v>1155</v>
      </c>
      <c r="Q256" s="79" t="s">
        <v>21</v>
      </c>
      <c r="R256" s="79" t="s">
        <v>61</v>
      </c>
      <c r="S256" s="79">
        <v>123456789</v>
      </c>
    </row>
    <row r="257" spans="1:19" x14ac:dyDescent="0.25">
      <c r="A257" s="79">
        <v>12345678</v>
      </c>
      <c r="B257" s="79" t="s">
        <v>580</v>
      </c>
      <c r="C257" s="82" t="s">
        <v>579</v>
      </c>
      <c r="D257" s="79">
        <v>123456</v>
      </c>
      <c r="E257" s="81">
        <v>12334567000189</v>
      </c>
      <c r="F257" s="79" t="s">
        <v>60</v>
      </c>
      <c r="G257" s="79" t="s">
        <v>23</v>
      </c>
      <c r="H257" s="79">
        <v>51.37</v>
      </c>
      <c r="I257" s="79">
        <v>50.44</v>
      </c>
      <c r="J257" s="79">
        <v>0.93</v>
      </c>
      <c r="K257" s="79" t="s">
        <v>25</v>
      </c>
      <c r="L257" s="79" t="s">
        <v>19</v>
      </c>
      <c r="M257" s="79" t="s">
        <v>26</v>
      </c>
      <c r="N257" s="79" t="s">
        <v>20</v>
      </c>
      <c r="O257" s="79"/>
      <c r="P257" s="79">
        <v>2534</v>
      </c>
      <c r="Q257" s="79" t="s">
        <v>21</v>
      </c>
      <c r="R257" s="79" t="s">
        <v>61</v>
      </c>
      <c r="S257" s="79">
        <v>123456789</v>
      </c>
    </row>
    <row r="258" spans="1:19" x14ac:dyDescent="0.25">
      <c r="A258" s="79">
        <v>12345678</v>
      </c>
      <c r="B258" s="79" t="s">
        <v>581</v>
      </c>
      <c r="C258" s="82" t="s">
        <v>582</v>
      </c>
      <c r="D258" s="79">
        <v>123456</v>
      </c>
      <c r="E258" s="81">
        <v>12334567000189</v>
      </c>
      <c r="F258" s="79" t="s">
        <v>60</v>
      </c>
      <c r="G258" s="79" t="s">
        <v>23</v>
      </c>
      <c r="H258" s="79">
        <v>170.71</v>
      </c>
      <c r="I258" s="79">
        <v>164.33</v>
      </c>
      <c r="J258" s="79">
        <v>6.38</v>
      </c>
      <c r="K258" s="79" t="s">
        <v>28</v>
      </c>
      <c r="L258" s="79" t="s">
        <v>19</v>
      </c>
      <c r="M258" s="79" t="s">
        <v>29</v>
      </c>
      <c r="N258" s="79" t="s">
        <v>20</v>
      </c>
      <c r="O258" s="79"/>
      <c r="P258" s="79">
        <v>9577</v>
      </c>
      <c r="Q258" s="79" t="s">
        <v>72</v>
      </c>
      <c r="R258" s="79" t="s">
        <v>61</v>
      </c>
      <c r="S258" s="79">
        <v>123456789</v>
      </c>
    </row>
    <row r="259" spans="1:19" x14ac:dyDescent="0.25">
      <c r="A259" s="79">
        <v>12345678</v>
      </c>
      <c r="B259" s="79" t="s">
        <v>583</v>
      </c>
      <c r="C259" s="82" t="s">
        <v>584</v>
      </c>
      <c r="D259" s="79">
        <v>123456</v>
      </c>
      <c r="E259" s="81">
        <v>12334567000189</v>
      </c>
      <c r="F259" s="79" t="s">
        <v>60</v>
      </c>
      <c r="G259" s="79" t="s">
        <v>23</v>
      </c>
      <c r="H259" s="79">
        <v>48.66</v>
      </c>
      <c r="I259" s="79">
        <v>48.2</v>
      </c>
      <c r="J259" s="79">
        <v>0.46</v>
      </c>
      <c r="K259" s="79" t="s">
        <v>22</v>
      </c>
      <c r="L259" s="79" t="s">
        <v>19</v>
      </c>
      <c r="M259" s="79" t="s">
        <v>19</v>
      </c>
      <c r="N259" s="79" t="s">
        <v>20</v>
      </c>
      <c r="O259" s="79"/>
      <c r="P259" s="79">
        <v>1096</v>
      </c>
      <c r="Q259" s="79" t="s">
        <v>21</v>
      </c>
      <c r="R259" s="79" t="s">
        <v>61</v>
      </c>
      <c r="S259" s="79">
        <v>123456789</v>
      </c>
    </row>
    <row r="260" spans="1:19" x14ac:dyDescent="0.25">
      <c r="A260" s="79">
        <v>12345678</v>
      </c>
      <c r="B260" s="79" t="s">
        <v>585</v>
      </c>
      <c r="C260" s="82" t="s">
        <v>586</v>
      </c>
      <c r="D260" s="79">
        <v>123456</v>
      </c>
      <c r="E260" s="81">
        <v>12334567000189</v>
      </c>
      <c r="F260" s="79" t="s">
        <v>60</v>
      </c>
      <c r="G260" s="79" t="s">
        <v>23</v>
      </c>
      <c r="H260" s="79">
        <v>11.49</v>
      </c>
      <c r="I260" s="79">
        <v>11.25</v>
      </c>
      <c r="J260" s="79">
        <v>0.24</v>
      </c>
      <c r="K260" s="79" t="s">
        <v>25</v>
      </c>
      <c r="L260" s="79" t="s">
        <v>19</v>
      </c>
      <c r="M260" s="79" t="s">
        <v>27</v>
      </c>
      <c r="N260" s="79" t="s">
        <v>20</v>
      </c>
      <c r="O260" s="79"/>
      <c r="P260" s="79">
        <v>4251</v>
      </c>
      <c r="Q260" s="79" t="s">
        <v>21</v>
      </c>
      <c r="R260" s="79" t="s">
        <v>61</v>
      </c>
      <c r="S260" s="79">
        <v>123456789</v>
      </c>
    </row>
    <row r="261" spans="1:19" x14ac:dyDescent="0.25">
      <c r="A261" s="79">
        <v>12345678</v>
      </c>
      <c r="B261" s="79" t="s">
        <v>587</v>
      </c>
      <c r="C261" s="82" t="s">
        <v>588</v>
      </c>
      <c r="D261" s="79">
        <v>123456</v>
      </c>
      <c r="E261" s="81">
        <v>12334567000189</v>
      </c>
      <c r="F261" s="79" t="s">
        <v>60</v>
      </c>
      <c r="G261" s="79" t="s">
        <v>23</v>
      </c>
      <c r="H261" s="79">
        <v>132.11000000000001</v>
      </c>
      <c r="I261" s="79">
        <v>127.49</v>
      </c>
      <c r="J261" s="79">
        <v>4.62</v>
      </c>
      <c r="K261" s="79" t="s">
        <v>28</v>
      </c>
      <c r="L261" s="79" t="s">
        <v>19</v>
      </c>
      <c r="M261" s="79" t="s">
        <v>29</v>
      </c>
      <c r="N261" s="79" t="s">
        <v>20</v>
      </c>
      <c r="O261" s="79"/>
      <c r="P261" s="79">
        <v>1131</v>
      </c>
      <c r="Q261" s="79" t="s">
        <v>21</v>
      </c>
      <c r="R261" s="79" t="s">
        <v>61</v>
      </c>
      <c r="S261" s="79">
        <v>123456789</v>
      </c>
    </row>
    <row r="262" spans="1:19" x14ac:dyDescent="0.25">
      <c r="A262" s="79">
        <v>12345678</v>
      </c>
      <c r="B262" s="79" t="s">
        <v>589</v>
      </c>
      <c r="C262" s="82" t="s">
        <v>590</v>
      </c>
      <c r="D262" s="79">
        <v>123456</v>
      </c>
      <c r="E262" s="81">
        <v>12334567000189</v>
      </c>
      <c r="F262" s="79" t="s">
        <v>60</v>
      </c>
      <c r="G262" s="79" t="s">
        <v>23</v>
      </c>
      <c r="H262" s="79">
        <v>230.66</v>
      </c>
      <c r="I262" s="79">
        <v>222.88</v>
      </c>
      <c r="J262" s="79">
        <v>7.78</v>
      </c>
      <c r="K262" s="79" t="s">
        <v>28</v>
      </c>
      <c r="L262" s="79" t="s">
        <v>19</v>
      </c>
      <c r="M262" s="79" t="s">
        <v>27</v>
      </c>
      <c r="N262" s="79" t="s">
        <v>20</v>
      </c>
      <c r="O262" s="79"/>
      <c r="P262" s="79">
        <v>7231</v>
      </c>
      <c r="Q262" s="79" t="s">
        <v>62</v>
      </c>
      <c r="R262" s="79" t="s">
        <v>61</v>
      </c>
      <c r="S262" s="79">
        <v>123456789</v>
      </c>
    </row>
    <row r="263" spans="1:19" x14ac:dyDescent="0.25">
      <c r="A263" s="79">
        <v>12345678</v>
      </c>
      <c r="B263" s="79" t="s">
        <v>591</v>
      </c>
      <c r="C263" s="82" t="s">
        <v>592</v>
      </c>
      <c r="D263" s="79">
        <v>123456</v>
      </c>
      <c r="E263" s="81">
        <v>12334567000189</v>
      </c>
      <c r="F263" s="79" t="s">
        <v>60</v>
      </c>
      <c r="G263" s="79" t="s">
        <v>23</v>
      </c>
      <c r="H263" s="79">
        <v>77.11</v>
      </c>
      <c r="I263" s="79">
        <v>74.41</v>
      </c>
      <c r="J263" s="79">
        <v>2.7</v>
      </c>
      <c r="K263" s="79" t="s">
        <v>28</v>
      </c>
      <c r="L263" s="79" t="s">
        <v>19</v>
      </c>
      <c r="M263" s="79" t="s">
        <v>24</v>
      </c>
      <c r="N263" s="79" t="s">
        <v>20</v>
      </c>
      <c r="O263" s="79"/>
      <c r="P263" s="79">
        <v>6907</v>
      </c>
      <c r="Q263" s="79" t="s">
        <v>21</v>
      </c>
      <c r="R263" s="79" t="s">
        <v>61</v>
      </c>
      <c r="S263" s="79">
        <v>123456789</v>
      </c>
    </row>
    <row r="264" spans="1:19" x14ac:dyDescent="0.25">
      <c r="A264" s="79">
        <v>12345678</v>
      </c>
      <c r="B264" s="79" t="s">
        <v>593</v>
      </c>
      <c r="C264" s="82" t="s">
        <v>594</v>
      </c>
      <c r="D264" s="79">
        <v>123456</v>
      </c>
      <c r="E264" s="81">
        <v>12334567000189</v>
      </c>
      <c r="F264" s="79" t="s">
        <v>60</v>
      </c>
      <c r="G264" s="79" t="s">
        <v>23</v>
      </c>
      <c r="H264" s="79">
        <v>163.37</v>
      </c>
      <c r="I264" s="79">
        <v>160.69999999999999</v>
      </c>
      <c r="J264" s="79">
        <v>2.67</v>
      </c>
      <c r="K264" s="79" t="s">
        <v>25</v>
      </c>
      <c r="L264" s="79" t="s">
        <v>19</v>
      </c>
      <c r="M264" s="79" t="s">
        <v>69</v>
      </c>
      <c r="N264" s="79" t="s">
        <v>20</v>
      </c>
      <c r="O264" s="79"/>
      <c r="P264" s="79">
        <v>6690</v>
      </c>
      <c r="Q264" s="79" t="s">
        <v>21</v>
      </c>
      <c r="R264" s="79" t="s">
        <v>61</v>
      </c>
      <c r="S264" s="79">
        <v>123456789</v>
      </c>
    </row>
    <row r="265" spans="1:19" x14ac:dyDescent="0.25">
      <c r="A265" s="79">
        <v>12345678</v>
      </c>
      <c r="B265" s="79" t="s">
        <v>595</v>
      </c>
      <c r="C265" s="82" t="s">
        <v>596</v>
      </c>
      <c r="D265" s="79">
        <v>123456</v>
      </c>
      <c r="E265" s="81">
        <v>12334567000189</v>
      </c>
      <c r="F265" s="79" t="s">
        <v>60</v>
      </c>
      <c r="G265" s="79" t="s">
        <v>23</v>
      </c>
      <c r="H265" s="79">
        <v>274.14999999999998</v>
      </c>
      <c r="I265" s="79">
        <v>270.42</v>
      </c>
      <c r="J265" s="79">
        <v>3.73</v>
      </c>
      <c r="K265" s="79" t="s">
        <v>25</v>
      </c>
      <c r="L265" s="79" t="s">
        <v>19</v>
      </c>
      <c r="M265" s="79" t="s">
        <v>24</v>
      </c>
      <c r="N265" s="79" t="s">
        <v>20</v>
      </c>
      <c r="O265" s="79"/>
      <c r="P265" s="79">
        <v>1145</v>
      </c>
      <c r="Q265" s="79" t="s">
        <v>21</v>
      </c>
      <c r="R265" s="79" t="s">
        <v>61</v>
      </c>
      <c r="S265" s="79">
        <v>123456789</v>
      </c>
    </row>
    <row r="266" spans="1:19" x14ac:dyDescent="0.25">
      <c r="A266" s="79">
        <v>12345678</v>
      </c>
      <c r="B266" s="79" t="s">
        <v>597</v>
      </c>
      <c r="C266" s="82" t="s">
        <v>598</v>
      </c>
      <c r="D266" s="79">
        <v>123456</v>
      </c>
      <c r="E266" s="81">
        <v>12334567000189</v>
      </c>
      <c r="F266" s="79" t="s">
        <v>60</v>
      </c>
      <c r="G266" s="79" t="s">
        <v>23</v>
      </c>
      <c r="H266" s="79">
        <v>215.25</v>
      </c>
      <c r="I266" s="79">
        <v>211.43</v>
      </c>
      <c r="J266" s="79">
        <v>3.82</v>
      </c>
      <c r="K266" s="79" t="s">
        <v>25</v>
      </c>
      <c r="L266" s="79" t="s">
        <v>19</v>
      </c>
      <c r="M266" s="79" t="s">
        <v>26</v>
      </c>
      <c r="N266" s="79" t="s">
        <v>20</v>
      </c>
      <c r="O266" s="79"/>
      <c r="P266" s="79">
        <v>3189</v>
      </c>
      <c r="Q266" s="79" t="s">
        <v>21</v>
      </c>
      <c r="R266" s="79" t="s">
        <v>61</v>
      </c>
      <c r="S266" s="79">
        <v>123456789</v>
      </c>
    </row>
    <row r="267" spans="1:19" x14ac:dyDescent="0.25">
      <c r="A267" s="79">
        <v>12345678</v>
      </c>
      <c r="B267" s="79" t="s">
        <v>599</v>
      </c>
      <c r="C267" s="82" t="s">
        <v>600</v>
      </c>
      <c r="D267" s="79">
        <v>123456</v>
      </c>
      <c r="E267" s="81">
        <v>12334567000189</v>
      </c>
      <c r="F267" s="79" t="s">
        <v>60</v>
      </c>
      <c r="G267" s="79" t="s">
        <v>23</v>
      </c>
      <c r="H267" s="79">
        <v>26.61</v>
      </c>
      <c r="I267" s="79">
        <v>25.49</v>
      </c>
      <c r="J267" s="79">
        <v>1.1200000000000001</v>
      </c>
      <c r="K267" s="79" t="s">
        <v>28</v>
      </c>
      <c r="L267" s="79" t="s">
        <v>19</v>
      </c>
      <c r="M267" s="79" t="s">
        <v>26</v>
      </c>
      <c r="N267" s="79" t="s">
        <v>20</v>
      </c>
      <c r="O267" s="79"/>
      <c r="P267" s="79">
        <v>8848</v>
      </c>
      <c r="Q267" s="79" t="s">
        <v>21</v>
      </c>
      <c r="R267" s="79" t="s">
        <v>61</v>
      </c>
      <c r="S267" s="79">
        <v>123456789</v>
      </c>
    </row>
    <row r="268" spans="1:19" x14ac:dyDescent="0.25">
      <c r="A268" s="79">
        <v>12345678</v>
      </c>
      <c r="B268" s="79" t="s">
        <v>601</v>
      </c>
      <c r="C268" s="82" t="s">
        <v>602</v>
      </c>
      <c r="D268" s="79">
        <v>123456</v>
      </c>
      <c r="E268" s="81">
        <v>12334567000189</v>
      </c>
      <c r="F268" s="79" t="s">
        <v>60</v>
      </c>
      <c r="G268" s="79" t="s">
        <v>23</v>
      </c>
      <c r="H268" s="79">
        <v>260.08</v>
      </c>
      <c r="I268" s="79">
        <v>251.54</v>
      </c>
      <c r="J268" s="79">
        <v>8.5399999999999991</v>
      </c>
      <c r="K268" s="79" t="s">
        <v>28</v>
      </c>
      <c r="L268" s="79" t="s">
        <v>19</v>
      </c>
      <c r="M268" s="79" t="s">
        <v>24</v>
      </c>
      <c r="N268" s="79" t="s">
        <v>20</v>
      </c>
      <c r="O268" s="79"/>
      <c r="P268" s="79">
        <v>5385</v>
      </c>
      <c r="Q268" s="79" t="s">
        <v>102</v>
      </c>
      <c r="R268" s="79" t="s">
        <v>61</v>
      </c>
      <c r="S268" s="79">
        <v>123456789</v>
      </c>
    </row>
    <row r="269" spans="1:19" x14ac:dyDescent="0.25">
      <c r="A269" s="79">
        <v>12345678</v>
      </c>
      <c r="B269" s="79" t="s">
        <v>603</v>
      </c>
      <c r="C269" s="82" t="s">
        <v>604</v>
      </c>
      <c r="D269" s="79">
        <v>123456</v>
      </c>
      <c r="E269" s="81">
        <v>12334567000189</v>
      </c>
      <c r="F269" s="79" t="s">
        <v>60</v>
      </c>
      <c r="G269" s="79" t="s">
        <v>23</v>
      </c>
      <c r="H269" s="79">
        <v>290.24</v>
      </c>
      <c r="I269" s="79">
        <v>277.36</v>
      </c>
      <c r="J269" s="79">
        <v>12.88</v>
      </c>
      <c r="K269" s="79" t="s">
        <v>28</v>
      </c>
      <c r="L269" s="79" t="s">
        <v>19</v>
      </c>
      <c r="M269" s="79" t="s">
        <v>29</v>
      </c>
      <c r="N269" s="79" t="s">
        <v>20</v>
      </c>
      <c r="O269" s="79"/>
      <c r="P269" s="79">
        <v>5699</v>
      </c>
      <c r="Q269" s="79" t="s">
        <v>21</v>
      </c>
      <c r="R269" s="79" t="s">
        <v>61</v>
      </c>
      <c r="S269" s="79">
        <v>123456789</v>
      </c>
    </row>
    <row r="270" spans="1:19" x14ac:dyDescent="0.25">
      <c r="A270" s="79">
        <v>12345678</v>
      </c>
      <c r="B270" s="79" t="s">
        <v>605</v>
      </c>
      <c r="C270" s="82" t="s">
        <v>606</v>
      </c>
      <c r="D270" s="79">
        <v>123456</v>
      </c>
      <c r="E270" s="81">
        <v>12334567000189</v>
      </c>
      <c r="F270" s="79" t="s">
        <v>60</v>
      </c>
      <c r="G270" s="79" t="s">
        <v>23</v>
      </c>
      <c r="H270" s="79">
        <v>266.42</v>
      </c>
      <c r="I270" s="79">
        <v>255.14</v>
      </c>
      <c r="J270" s="79">
        <v>11.28</v>
      </c>
      <c r="K270" s="79" t="s">
        <v>28</v>
      </c>
      <c r="L270" s="79" t="s">
        <v>19</v>
      </c>
      <c r="M270" s="79" t="s">
        <v>29</v>
      </c>
      <c r="N270" s="79" t="s">
        <v>20</v>
      </c>
      <c r="O270" s="79"/>
      <c r="P270" s="79">
        <v>2251</v>
      </c>
      <c r="Q270" s="79" t="s">
        <v>21</v>
      </c>
      <c r="R270" s="79" t="s">
        <v>61</v>
      </c>
      <c r="S270" s="79">
        <v>123456789</v>
      </c>
    </row>
    <row r="271" spans="1:19" x14ac:dyDescent="0.25">
      <c r="A271" s="79">
        <v>12345678</v>
      </c>
      <c r="B271" s="79" t="s">
        <v>607</v>
      </c>
      <c r="C271" s="82" t="s">
        <v>608</v>
      </c>
      <c r="D271" s="79">
        <v>123456</v>
      </c>
      <c r="E271" s="81">
        <v>12334567000189</v>
      </c>
      <c r="F271" s="79" t="s">
        <v>60</v>
      </c>
      <c r="G271" s="79" t="s">
        <v>23</v>
      </c>
      <c r="H271" s="79">
        <v>1366.67</v>
      </c>
      <c r="I271" s="79">
        <v>1347.1</v>
      </c>
      <c r="J271" s="79">
        <v>19.57</v>
      </c>
      <c r="K271" s="79" t="s">
        <v>25</v>
      </c>
      <c r="L271" s="79" t="s">
        <v>19</v>
      </c>
      <c r="M271" s="79" t="s">
        <v>27</v>
      </c>
      <c r="N271" s="79" t="s">
        <v>20</v>
      </c>
      <c r="O271" s="79"/>
      <c r="P271" s="79">
        <v>9724</v>
      </c>
      <c r="Q271" s="79" t="s">
        <v>21</v>
      </c>
      <c r="R271" s="79" t="s">
        <v>61</v>
      </c>
      <c r="S271" s="79">
        <v>123456789</v>
      </c>
    </row>
    <row r="272" spans="1:19" x14ac:dyDescent="0.25">
      <c r="A272" s="79">
        <v>12345678</v>
      </c>
      <c r="B272" s="79" t="s">
        <v>609</v>
      </c>
      <c r="C272" s="82" t="s">
        <v>610</v>
      </c>
      <c r="D272" s="79">
        <v>123456</v>
      </c>
      <c r="E272" s="81">
        <v>12334567000189</v>
      </c>
      <c r="F272" s="79" t="s">
        <v>60</v>
      </c>
      <c r="G272" s="79" t="s">
        <v>23</v>
      </c>
      <c r="H272" s="79">
        <v>217.33</v>
      </c>
      <c r="I272" s="79">
        <v>209.09</v>
      </c>
      <c r="J272" s="79">
        <v>8.24</v>
      </c>
      <c r="K272" s="79" t="s">
        <v>28</v>
      </c>
      <c r="L272" s="79" t="s">
        <v>19</v>
      </c>
      <c r="M272" s="79" t="s">
        <v>69</v>
      </c>
      <c r="N272" s="79" t="s">
        <v>20</v>
      </c>
      <c r="O272" s="79"/>
      <c r="P272" s="79">
        <v>3344</v>
      </c>
      <c r="Q272" s="79" t="s">
        <v>62</v>
      </c>
      <c r="R272" s="79" t="s">
        <v>61</v>
      </c>
      <c r="S272" s="79">
        <v>123456789</v>
      </c>
    </row>
    <row r="273" spans="1:19" x14ac:dyDescent="0.25">
      <c r="A273" s="79">
        <v>12345678</v>
      </c>
      <c r="B273" s="79" t="s">
        <v>611</v>
      </c>
      <c r="C273" s="82" t="s">
        <v>612</v>
      </c>
      <c r="D273" s="79">
        <v>123456</v>
      </c>
      <c r="E273" s="81">
        <v>12334567000189</v>
      </c>
      <c r="F273" s="79" t="s">
        <v>60</v>
      </c>
      <c r="G273" s="79" t="s">
        <v>23</v>
      </c>
      <c r="H273" s="79">
        <v>1123.01</v>
      </c>
      <c r="I273" s="79">
        <v>1077.5</v>
      </c>
      <c r="J273" s="79">
        <v>45.51</v>
      </c>
      <c r="K273" s="79" t="s">
        <v>28</v>
      </c>
      <c r="L273" s="79" t="s">
        <v>19</v>
      </c>
      <c r="M273" s="79" t="s">
        <v>69</v>
      </c>
      <c r="N273" s="79" t="s">
        <v>20</v>
      </c>
      <c r="O273" s="79"/>
      <c r="P273" s="79">
        <v>3627</v>
      </c>
      <c r="Q273" s="79" t="s">
        <v>21</v>
      </c>
      <c r="R273" s="79" t="s">
        <v>61</v>
      </c>
      <c r="S273" s="79">
        <v>123456789</v>
      </c>
    </row>
    <row r="274" spans="1:19" x14ac:dyDescent="0.25">
      <c r="A274" s="79">
        <v>12345678</v>
      </c>
      <c r="B274" s="79" t="s">
        <v>613</v>
      </c>
      <c r="C274" s="82" t="s">
        <v>614</v>
      </c>
      <c r="D274" s="79">
        <v>123456</v>
      </c>
      <c r="E274" s="81">
        <v>12334567000189</v>
      </c>
      <c r="F274" s="79" t="s">
        <v>60</v>
      </c>
      <c r="G274" s="79" t="s">
        <v>23</v>
      </c>
      <c r="H274" s="79">
        <v>264.02999999999997</v>
      </c>
      <c r="I274" s="79">
        <v>253.91</v>
      </c>
      <c r="J274" s="79">
        <v>10.119999999999999</v>
      </c>
      <c r="K274" s="79" t="s">
        <v>28</v>
      </c>
      <c r="L274" s="79" t="s">
        <v>19</v>
      </c>
      <c r="M274" s="79" t="s">
        <v>26</v>
      </c>
      <c r="N274" s="79" t="s">
        <v>20</v>
      </c>
      <c r="O274" s="79"/>
      <c r="P274" s="79">
        <v>2776</v>
      </c>
      <c r="Q274" s="79" t="s">
        <v>102</v>
      </c>
      <c r="R274" s="79" t="s">
        <v>61</v>
      </c>
      <c r="S274" s="79">
        <v>123456789</v>
      </c>
    </row>
    <row r="275" spans="1:19" x14ac:dyDescent="0.25">
      <c r="A275" s="79">
        <v>12345678</v>
      </c>
      <c r="B275" s="79" t="s">
        <v>615</v>
      </c>
      <c r="C275" s="82" t="s">
        <v>616</v>
      </c>
      <c r="D275" s="79">
        <v>123456</v>
      </c>
      <c r="E275" s="81">
        <v>12334567000189</v>
      </c>
      <c r="F275" s="79" t="s">
        <v>60</v>
      </c>
      <c r="G275" s="79" t="s">
        <v>23</v>
      </c>
      <c r="H275" s="79">
        <v>107.29</v>
      </c>
      <c r="I275" s="79">
        <v>103.69</v>
      </c>
      <c r="J275" s="79">
        <v>3.6</v>
      </c>
      <c r="K275" s="79" t="s">
        <v>28</v>
      </c>
      <c r="L275" s="79" t="s">
        <v>19</v>
      </c>
      <c r="M275" s="79" t="s">
        <v>27</v>
      </c>
      <c r="N275" s="79" t="s">
        <v>20</v>
      </c>
      <c r="O275" s="79"/>
      <c r="P275" s="79">
        <v>2595</v>
      </c>
      <c r="Q275" s="79" t="s">
        <v>21</v>
      </c>
      <c r="R275" s="79" t="s">
        <v>61</v>
      </c>
      <c r="S275" s="79">
        <v>123456789</v>
      </c>
    </row>
    <row r="276" spans="1:19" x14ac:dyDescent="0.25">
      <c r="A276" s="79">
        <v>12345678</v>
      </c>
      <c r="B276" s="79" t="s">
        <v>617</v>
      </c>
      <c r="C276" s="82" t="s">
        <v>618</v>
      </c>
      <c r="D276" s="79">
        <v>123456</v>
      </c>
      <c r="E276" s="81">
        <v>12334567000189</v>
      </c>
      <c r="F276" s="79" t="s">
        <v>60</v>
      </c>
      <c r="G276" s="79" t="s">
        <v>23</v>
      </c>
      <c r="H276" s="79">
        <v>155.63</v>
      </c>
      <c r="I276" s="79">
        <v>149.15</v>
      </c>
      <c r="J276" s="79">
        <v>6.48</v>
      </c>
      <c r="K276" s="79" t="s">
        <v>28</v>
      </c>
      <c r="L276" s="79" t="s">
        <v>19</v>
      </c>
      <c r="M276" s="79" t="s">
        <v>29</v>
      </c>
      <c r="N276" s="79" t="s">
        <v>20</v>
      </c>
      <c r="O276" s="79"/>
      <c r="P276" s="79">
        <v>8059</v>
      </c>
      <c r="Q276" s="79" t="s">
        <v>21</v>
      </c>
      <c r="R276" s="79" t="s">
        <v>61</v>
      </c>
      <c r="S276" s="79">
        <v>123456789</v>
      </c>
    </row>
    <row r="277" spans="1:19" x14ac:dyDescent="0.25">
      <c r="A277" s="79">
        <v>12345678</v>
      </c>
      <c r="B277" s="79" t="s">
        <v>619</v>
      </c>
      <c r="C277" s="82" t="s">
        <v>620</v>
      </c>
      <c r="D277" s="79">
        <v>123456</v>
      </c>
      <c r="E277" s="81">
        <v>12334567000189</v>
      </c>
      <c r="F277" s="79" t="s">
        <v>60</v>
      </c>
      <c r="G277" s="79" t="s">
        <v>23</v>
      </c>
      <c r="H277" s="79">
        <v>79.34</v>
      </c>
      <c r="I277" s="79">
        <v>75.77</v>
      </c>
      <c r="J277" s="79">
        <v>3.57</v>
      </c>
      <c r="K277" s="79" t="s">
        <v>28</v>
      </c>
      <c r="L277" s="79" t="s">
        <v>19</v>
      </c>
      <c r="M277" s="79" t="s">
        <v>89</v>
      </c>
      <c r="N277" s="79" t="s">
        <v>20</v>
      </c>
      <c r="O277" s="79"/>
      <c r="P277" s="79">
        <v>3301</v>
      </c>
      <c r="Q277" s="79" t="s">
        <v>21</v>
      </c>
      <c r="R277" s="79" t="s">
        <v>61</v>
      </c>
      <c r="S277" s="79">
        <v>123456789</v>
      </c>
    </row>
    <row r="278" spans="1:19" x14ac:dyDescent="0.25">
      <c r="A278" s="79">
        <v>12345678</v>
      </c>
      <c r="B278" s="79" t="s">
        <v>621</v>
      </c>
      <c r="C278" s="82" t="s">
        <v>622</v>
      </c>
      <c r="D278" s="79">
        <v>123456</v>
      </c>
      <c r="E278" s="81">
        <v>12334567000189</v>
      </c>
      <c r="F278" s="79" t="s">
        <v>60</v>
      </c>
      <c r="G278" s="79" t="s">
        <v>125</v>
      </c>
      <c r="H278" s="79">
        <v>115.41</v>
      </c>
      <c r="I278" s="79">
        <v>114.35</v>
      </c>
      <c r="J278" s="79">
        <v>1.06</v>
      </c>
      <c r="K278" s="79" t="s">
        <v>22</v>
      </c>
      <c r="L278" s="79" t="s">
        <v>19</v>
      </c>
      <c r="M278" s="79" t="s">
        <v>19</v>
      </c>
      <c r="N278" s="79" t="s">
        <v>20</v>
      </c>
      <c r="O278" s="79"/>
      <c r="P278" s="79">
        <v>8573</v>
      </c>
      <c r="Q278" s="79" t="s">
        <v>21</v>
      </c>
      <c r="R278" s="79" t="s">
        <v>61</v>
      </c>
      <c r="S278" s="79">
        <v>123456789</v>
      </c>
    </row>
    <row r="279" spans="1:19" x14ac:dyDescent="0.25">
      <c r="A279" s="79">
        <v>12345678</v>
      </c>
      <c r="B279" s="79" t="s">
        <v>623</v>
      </c>
      <c r="C279" s="82" t="s">
        <v>624</v>
      </c>
      <c r="D279" s="79">
        <v>123456</v>
      </c>
      <c r="E279" s="81">
        <v>12334567000189</v>
      </c>
      <c r="F279" s="79" t="s">
        <v>60</v>
      </c>
      <c r="G279" s="79" t="s">
        <v>23</v>
      </c>
      <c r="H279" s="79">
        <v>165.18</v>
      </c>
      <c r="I279" s="79">
        <v>161.82</v>
      </c>
      <c r="J279" s="79">
        <v>3.36</v>
      </c>
      <c r="K279" s="79" t="s">
        <v>25</v>
      </c>
      <c r="L279" s="79" t="s">
        <v>19</v>
      </c>
      <c r="M279" s="79" t="s">
        <v>29</v>
      </c>
      <c r="N279" s="79" t="s">
        <v>20</v>
      </c>
      <c r="O279" s="79"/>
      <c r="P279" s="79">
        <v>8756</v>
      </c>
      <c r="Q279" s="79" t="s">
        <v>21</v>
      </c>
      <c r="R279" s="79" t="s">
        <v>61</v>
      </c>
      <c r="S279" s="79">
        <v>123456789</v>
      </c>
    </row>
    <row r="280" spans="1:19" x14ac:dyDescent="0.25">
      <c r="A280" s="79">
        <v>12345678</v>
      </c>
      <c r="B280" s="79" t="s">
        <v>625</v>
      </c>
      <c r="C280" s="82" t="s">
        <v>626</v>
      </c>
      <c r="D280" s="79">
        <v>123456</v>
      </c>
      <c r="E280" s="81">
        <v>12334567000189</v>
      </c>
      <c r="F280" s="79" t="s">
        <v>60</v>
      </c>
      <c r="G280" s="79" t="s">
        <v>23</v>
      </c>
      <c r="H280" s="79">
        <v>230</v>
      </c>
      <c r="I280" s="79">
        <v>221.64</v>
      </c>
      <c r="J280" s="79">
        <v>8.36</v>
      </c>
      <c r="K280" s="79" t="s">
        <v>28</v>
      </c>
      <c r="L280" s="79" t="s">
        <v>19</v>
      </c>
      <c r="M280" s="79" t="s">
        <v>26</v>
      </c>
      <c r="N280" s="79" t="s">
        <v>20</v>
      </c>
      <c r="O280" s="79"/>
      <c r="P280" s="79">
        <v>1162</v>
      </c>
      <c r="Q280" s="79" t="s">
        <v>21</v>
      </c>
      <c r="R280" s="79" t="s">
        <v>61</v>
      </c>
      <c r="S280" s="79">
        <v>123456789</v>
      </c>
    </row>
    <row r="281" spans="1:19" x14ac:dyDescent="0.25">
      <c r="A281" s="79">
        <v>12345678</v>
      </c>
      <c r="B281" s="79" t="s">
        <v>627</v>
      </c>
      <c r="C281" s="82" t="s">
        <v>628</v>
      </c>
      <c r="D281" s="79">
        <v>123456</v>
      </c>
      <c r="E281" s="81">
        <v>12334567000189</v>
      </c>
      <c r="F281" s="79" t="s">
        <v>60</v>
      </c>
      <c r="G281" s="79" t="s">
        <v>23</v>
      </c>
      <c r="H281" s="79">
        <v>219.59</v>
      </c>
      <c r="I281" s="79">
        <v>215.59</v>
      </c>
      <c r="J281" s="79">
        <v>4</v>
      </c>
      <c r="K281" s="79" t="s">
        <v>25</v>
      </c>
      <c r="L281" s="79" t="s">
        <v>19</v>
      </c>
      <c r="M281" s="79" t="s">
        <v>27</v>
      </c>
      <c r="N281" s="79" t="s">
        <v>20</v>
      </c>
      <c r="O281" s="79"/>
      <c r="P281" s="79">
        <v>9947</v>
      </c>
      <c r="Q281" s="79" t="s">
        <v>21</v>
      </c>
      <c r="R281" s="79" t="s">
        <v>61</v>
      </c>
      <c r="S281" s="79">
        <v>123456789</v>
      </c>
    </row>
    <row r="282" spans="1:19" x14ac:dyDescent="0.25">
      <c r="A282" s="79">
        <v>12345678</v>
      </c>
      <c r="B282" s="79" t="s">
        <v>629</v>
      </c>
      <c r="C282" s="82" t="s">
        <v>630</v>
      </c>
      <c r="D282" s="79">
        <v>123456</v>
      </c>
      <c r="E282" s="81">
        <v>12334567000189</v>
      </c>
      <c r="F282" s="79" t="s">
        <v>60</v>
      </c>
      <c r="G282" s="79" t="s">
        <v>23</v>
      </c>
      <c r="H282" s="79">
        <v>70.83</v>
      </c>
      <c r="I282" s="79">
        <v>69.790000000000006</v>
      </c>
      <c r="J282" s="79">
        <v>1.04</v>
      </c>
      <c r="K282" s="79" t="s">
        <v>25</v>
      </c>
      <c r="L282" s="79" t="s">
        <v>19</v>
      </c>
      <c r="M282" s="79" t="s">
        <v>69</v>
      </c>
      <c r="N282" s="79" t="s">
        <v>20</v>
      </c>
      <c r="O282" s="79"/>
      <c r="P282" s="79">
        <v>8167</v>
      </c>
      <c r="Q282" s="79" t="s">
        <v>21</v>
      </c>
      <c r="R282" s="79" t="s">
        <v>61</v>
      </c>
      <c r="S282" s="79">
        <v>123456789</v>
      </c>
    </row>
    <row r="283" spans="1:19" x14ac:dyDescent="0.25">
      <c r="A283" s="79">
        <v>12345678</v>
      </c>
      <c r="B283" s="79" t="s">
        <v>631</v>
      </c>
      <c r="C283" s="82" t="s">
        <v>632</v>
      </c>
      <c r="D283" s="79">
        <v>123456</v>
      </c>
      <c r="E283" s="81">
        <v>12334567000189</v>
      </c>
      <c r="F283" s="79" t="s">
        <v>60</v>
      </c>
      <c r="G283" s="79" t="s">
        <v>23</v>
      </c>
      <c r="H283" s="79">
        <v>843.53</v>
      </c>
      <c r="I283" s="79">
        <v>831.81</v>
      </c>
      <c r="J283" s="79">
        <v>11.72</v>
      </c>
      <c r="K283" s="79" t="s">
        <v>25</v>
      </c>
      <c r="L283" s="79" t="s">
        <v>19</v>
      </c>
      <c r="M283" s="79" t="s">
        <v>29</v>
      </c>
      <c r="N283" s="79" t="s">
        <v>20</v>
      </c>
      <c r="O283" s="79"/>
      <c r="P283" s="79">
        <v>7484</v>
      </c>
      <c r="Q283" s="79" t="s">
        <v>21</v>
      </c>
      <c r="R283" s="79" t="s">
        <v>61</v>
      </c>
      <c r="S283" s="79">
        <v>123456789</v>
      </c>
    </row>
    <row r="284" spans="1:19" x14ac:dyDescent="0.25">
      <c r="A284" s="79">
        <v>12345678</v>
      </c>
      <c r="B284" s="79" t="s">
        <v>633</v>
      </c>
      <c r="C284" s="82" t="s">
        <v>634</v>
      </c>
      <c r="D284" s="79">
        <v>123456</v>
      </c>
      <c r="E284" s="81">
        <v>12334567000189</v>
      </c>
      <c r="F284" s="79" t="s">
        <v>60</v>
      </c>
      <c r="G284" s="79" t="s">
        <v>23</v>
      </c>
      <c r="H284" s="79">
        <v>92.25</v>
      </c>
      <c r="I284" s="79">
        <v>88.27</v>
      </c>
      <c r="J284" s="79">
        <v>3.98</v>
      </c>
      <c r="K284" s="79" t="s">
        <v>28</v>
      </c>
      <c r="L284" s="79" t="s">
        <v>19</v>
      </c>
      <c r="M284" s="79" t="s">
        <v>26</v>
      </c>
      <c r="N284" s="79" t="s">
        <v>20</v>
      </c>
      <c r="O284" s="79"/>
      <c r="P284" s="79">
        <v>3846</v>
      </c>
      <c r="Q284" s="79" t="s">
        <v>21</v>
      </c>
      <c r="R284" s="79" t="s">
        <v>61</v>
      </c>
      <c r="S284" s="79">
        <v>123456789</v>
      </c>
    </row>
    <row r="285" spans="1:19" x14ac:dyDescent="0.25">
      <c r="A285" s="79">
        <v>12345678</v>
      </c>
      <c r="B285" s="79" t="s">
        <v>635</v>
      </c>
      <c r="C285" s="82" t="s">
        <v>636</v>
      </c>
      <c r="D285" s="79">
        <v>123456</v>
      </c>
      <c r="E285" s="81">
        <v>12334567000189</v>
      </c>
      <c r="F285" s="79" t="s">
        <v>60</v>
      </c>
      <c r="G285" s="79" t="s">
        <v>23</v>
      </c>
      <c r="H285" s="79">
        <v>76.98</v>
      </c>
      <c r="I285" s="79">
        <v>73.849999999999994</v>
      </c>
      <c r="J285" s="79">
        <v>3.13</v>
      </c>
      <c r="K285" s="79" t="s">
        <v>28</v>
      </c>
      <c r="L285" s="79" t="s">
        <v>19</v>
      </c>
      <c r="M285" s="79" t="s">
        <v>27</v>
      </c>
      <c r="N285" s="79" t="s">
        <v>20</v>
      </c>
      <c r="O285" s="79"/>
      <c r="P285" s="79">
        <v>5864</v>
      </c>
      <c r="Q285" s="79" t="s">
        <v>21</v>
      </c>
      <c r="R285" s="79" t="s">
        <v>61</v>
      </c>
      <c r="S285" s="79">
        <v>123456789</v>
      </c>
    </row>
    <row r="286" spans="1:19" x14ac:dyDescent="0.25">
      <c r="A286" s="79">
        <v>12345678</v>
      </c>
      <c r="B286" s="79" t="s">
        <v>637</v>
      </c>
      <c r="C286" s="82" t="s">
        <v>638</v>
      </c>
      <c r="D286" s="79">
        <v>123456</v>
      </c>
      <c r="E286" s="81">
        <v>12334567000189</v>
      </c>
      <c r="F286" s="79" t="s">
        <v>60</v>
      </c>
      <c r="G286" s="79" t="s">
        <v>23</v>
      </c>
      <c r="H286" s="79">
        <v>244.06</v>
      </c>
      <c r="I286" s="79">
        <v>235.35</v>
      </c>
      <c r="J286" s="79">
        <v>8.7100000000000009</v>
      </c>
      <c r="K286" s="79" t="s">
        <v>28</v>
      </c>
      <c r="L286" s="79" t="s">
        <v>19</v>
      </c>
      <c r="M286" s="79" t="s">
        <v>26</v>
      </c>
      <c r="N286" s="79" t="s">
        <v>20</v>
      </c>
      <c r="O286" s="79"/>
      <c r="P286" s="79">
        <v>8387</v>
      </c>
      <c r="Q286" s="79" t="s">
        <v>21</v>
      </c>
      <c r="R286" s="79" t="s">
        <v>61</v>
      </c>
      <c r="S286" s="79">
        <v>123456789</v>
      </c>
    </row>
    <row r="287" spans="1:19" x14ac:dyDescent="0.25">
      <c r="A287" s="79">
        <v>12345678</v>
      </c>
      <c r="B287" s="79" t="s">
        <v>639</v>
      </c>
      <c r="C287" s="82" t="s">
        <v>640</v>
      </c>
      <c r="D287" s="79">
        <v>123456</v>
      </c>
      <c r="E287" s="81">
        <v>12334567000189</v>
      </c>
      <c r="F287" s="79" t="s">
        <v>60</v>
      </c>
      <c r="G287" s="79" t="s">
        <v>23</v>
      </c>
      <c r="H287" s="79">
        <v>61.82</v>
      </c>
      <c r="I287" s="79">
        <v>60.7</v>
      </c>
      <c r="J287" s="79">
        <v>1.1200000000000001</v>
      </c>
      <c r="K287" s="79" t="s">
        <v>25</v>
      </c>
      <c r="L287" s="79" t="s">
        <v>19</v>
      </c>
      <c r="M287" s="79" t="s">
        <v>89</v>
      </c>
      <c r="N287" s="79" t="s">
        <v>20</v>
      </c>
      <c r="O287" s="79"/>
      <c r="P287" s="79">
        <v>2506</v>
      </c>
      <c r="Q287" s="79" t="s">
        <v>21</v>
      </c>
      <c r="R287" s="79" t="s">
        <v>61</v>
      </c>
      <c r="S287" s="79">
        <v>123456789</v>
      </c>
    </row>
    <row r="288" spans="1:19" x14ac:dyDescent="0.25">
      <c r="A288" s="79">
        <v>12345678</v>
      </c>
      <c r="B288" s="79" t="s">
        <v>641</v>
      </c>
      <c r="C288" s="82" t="s">
        <v>642</v>
      </c>
      <c r="D288" s="79">
        <v>123456</v>
      </c>
      <c r="E288" s="81">
        <v>12334567000189</v>
      </c>
      <c r="F288" s="79" t="s">
        <v>60</v>
      </c>
      <c r="G288" s="79" t="s">
        <v>23</v>
      </c>
      <c r="H288" s="79">
        <v>226.11</v>
      </c>
      <c r="I288" s="79">
        <v>217.65</v>
      </c>
      <c r="J288" s="79">
        <v>8.4600000000000009</v>
      </c>
      <c r="K288" s="79" t="s">
        <v>28</v>
      </c>
      <c r="L288" s="79" t="s">
        <v>19</v>
      </c>
      <c r="M288" s="79" t="s">
        <v>89</v>
      </c>
      <c r="N288" s="79" t="s">
        <v>20</v>
      </c>
      <c r="O288" s="79"/>
      <c r="P288" s="79">
        <v>1553</v>
      </c>
      <c r="Q288" s="79" t="s">
        <v>102</v>
      </c>
      <c r="R288" s="79" t="s">
        <v>61</v>
      </c>
      <c r="S288" s="79">
        <v>123456789</v>
      </c>
    </row>
    <row r="289" spans="1:19" x14ac:dyDescent="0.25">
      <c r="A289" s="79">
        <v>12345678</v>
      </c>
      <c r="B289" s="79" t="s">
        <v>643</v>
      </c>
      <c r="C289" s="82" t="s">
        <v>644</v>
      </c>
      <c r="D289" s="79">
        <v>123456</v>
      </c>
      <c r="E289" s="81">
        <v>12334567000189</v>
      </c>
      <c r="F289" s="79" t="s">
        <v>60</v>
      </c>
      <c r="G289" s="79" t="s">
        <v>23</v>
      </c>
      <c r="H289" s="79">
        <v>185.13</v>
      </c>
      <c r="I289" s="79">
        <v>183</v>
      </c>
      <c r="J289" s="79">
        <v>2.13</v>
      </c>
      <c r="K289" s="79" t="s">
        <v>22</v>
      </c>
      <c r="L289" s="79" t="s">
        <v>19</v>
      </c>
      <c r="M289" s="79" t="s">
        <v>19</v>
      </c>
      <c r="N289" s="79" t="s">
        <v>20</v>
      </c>
      <c r="O289" s="79"/>
      <c r="P289" s="79">
        <v>2225</v>
      </c>
      <c r="Q289" s="79" t="s">
        <v>21</v>
      </c>
      <c r="R289" s="79" t="s">
        <v>61</v>
      </c>
      <c r="S289" s="79">
        <v>123456789</v>
      </c>
    </row>
    <row r="290" spans="1:19" x14ac:dyDescent="0.25">
      <c r="A290" s="79">
        <v>12345678</v>
      </c>
      <c r="B290" s="79" t="s">
        <v>645</v>
      </c>
      <c r="C290" s="82" t="s">
        <v>646</v>
      </c>
      <c r="D290" s="79">
        <v>123456</v>
      </c>
      <c r="E290" s="81">
        <v>12334567000189</v>
      </c>
      <c r="F290" s="79" t="s">
        <v>60</v>
      </c>
      <c r="G290" s="79" t="s">
        <v>23</v>
      </c>
      <c r="H290" s="79">
        <v>136.21</v>
      </c>
      <c r="I290" s="79">
        <v>133.44</v>
      </c>
      <c r="J290" s="79">
        <v>2.77</v>
      </c>
      <c r="K290" s="79" t="s">
        <v>25</v>
      </c>
      <c r="L290" s="79" t="s">
        <v>19</v>
      </c>
      <c r="M290" s="79" t="s">
        <v>27</v>
      </c>
      <c r="N290" s="79" t="s">
        <v>20</v>
      </c>
      <c r="O290" s="79"/>
      <c r="P290" s="79">
        <v>7800</v>
      </c>
      <c r="Q290" s="79" t="s">
        <v>21</v>
      </c>
      <c r="R290" s="79" t="s">
        <v>61</v>
      </c>
      <c r="S290" s="79">
        <v>123456789</v>
      </c>
    </row>
    <row r="291" spans="1:19" x14ac:dyDescent="0.25">
      <c r="A291" s="79">
        <v>12345678</v>
      </c>
      <c r="B291" s="79" t="s">
        <v>647</v>
      </c>
      <c r="C291" s="82" t="s">
        <v>648</v>
      </c>
      <c r="D291" s="79">
        <v>123456</v>
      </c>
      <c r="E291" s="81">
        <v>12334567000189</v>
      </c>
      <c r="F291" s="79" t="s">
        <v>60</v>
      </c>
      <c r="G291" s="79" t="s">
        <v>23</v>
      </c>
      <c r="H291" s="79">
        <v>126.1</v>
      </c>
      <c r="I291" s="79">
        <v>123.83</v>
      </c>
      <c r="J291" s="79">
        <v>2.27</v>
      </c>
      <c r="K291" s="79" t="s">
        <v>25</v>
      </c>
      <c r="L291" s="79" t="s">
        <v>19</v>
      </c>
      <c r="M291" s="79" t="s">
        <v>26</v>
      </c>
      <c r="N291" s="79" t="s">
        <v>20</v>
      </c>
      <c r="O291" s="79"/>
      <c r="P291" s="79">
        <v>1860</v>
      </c>
      <c r="Q291" s="79" t="s">
        <v>21</v>
      </c>
      <c r="R291" s="79" t="s">
        <v>61</v>
      </c>
      <c r="S291" s="79">
        <v>123456789</v>
      </c>
    </row>
    <row r="292" spans="1:19" x14ac:dyDescent="0.25">
      <c r="A292" s="79">
        <v>12345678</v>
      </c>
      <c r="B292" s="79" t="s">
        <v>649</v>
      </c>
      <c r="C292" s="82" t="s">
        <v>650</v>
      </c>
      <c r="D292" s="79">
        <v>123456</v>
      </c>
      <c r="E292" s="81">
        <v>12334567000189</v>
      </c>
      <c r="F292" s="79" t="s">
        <v>60</v>
      </c>
      <c r="G292" s="79" t="s">
        <v>23</v>
      </c>
      <c r="H292" s="79">
        <v>284.67</v>
      </c>
      <c r="I292" s="79">
        <v>275.81</v>
      </c>
      <c r="J292" s="79">
        <v>8.86</v>
      </c>
      <c r="K292" s="79" t="s">
        <v>28</v>
      </c>
      <c r="L292" s="79" t="s">
        <v>19</v>
      </c>
      <c r="M292" s="79" t="s">
        <v>26</v>
      </c>
      <c r="N292" s="79" t="s">
        <v>20</v>
      </c>
      <c r="O292" s="79"/>
      <c r="P292" s="79">
        <v>4971</v>
      </c>
      <c r="Q292" s="79" t="s">
        <v>21</v>
      </c>
      <c r="R292" s="79" t="s">
        <v>61</v>
      </c>
      <c r="S292" s="79">
        <v>123456789</v>
      </c>
    </row>
    <row r="293" spans="1:19" x14ac:dyDescent="0.25">
      <c r="A293" s="79">
        <v>12345678</v>
      </c>
      <c r="B293" s="79" t="s">
        <v>651</v>
      </c>
      <c r="C293" s="82" t="s">
        <v>652</v>
      </c>
      <c r="D293" s="79">
        <v>123456</v>
      </c>
      <c r="E293" s="81">
        <v>12334567000189</v>
      </c>
      <c r="F293" s="79" t="s">
        <v>60</v>
      </c>
      <c r="G293" s="79" t="s">
        <v>23</v>
      </c>
      <c r="H293" s="79">
        <v>32.619999999999997</v>
      </c>
      <c r="I293" s="79">
        <v>31.91</v>
      </c>
      <c r="J293" s="79">
        <v>0.71</v>
      </c>
      <c r="K293" s="79" t="s">
        <v>25</v>
      </c>
      <c r="L293" s="79" t="s">
        <v>19</v>
      </c>
      <c r="M293" s="79" t="s">
        <v>29</v>
      </c>
      <c r="N293" s="79" t="s">
        <v>20</v>
      </c>
      <c r="O293" s="79"/>
      <c r="P293" s="79">
        <v>6032</v>
      </c>
      <c r="Q293" s="79" t="s">
        <v>21</v>
      </c>
      <c r="R293" s="79" t="s">
        <v>61</v>
      </c>
      <c r="S293" s="79">
        <v>123456789</v>
      </c>
    </row>
    <row r="294" spans="1:19" x14ac:dyDescent="0.25">
      <c r="A294" s="79">
        <v>12345678</v>
      </c>
      <c r="B294" s="79" t="s">
        <v>653</v>
      </c>
      <c r="C294" s="82" t="s">
        <v>654</v>
      </c>
      <c r="D294" s="79">
        <v>123456</v>
      </c>
      <c r="E294" s="81">
        <v>12334567000189</v>
      </c>
      <c r="F294" s="79" t="s">
        <v>60</v>
      </c>
      <c r="G294" s="79" t="s">
        <v>23</v>
      </c>
      <c r="H294" s="79">
        <v>143.68</v>
      </c>
      <c r="I294" s="79">
        <v>142.47</v>
      </c>
      <c r="J294" s="79">
        <v>1.21</v>
      </c>
      <c r="K294" s="79" t="s">
        <v>22</v>
      </c>
      <c r="L294" s="79" t="s">
        <v>19</v>
      </c>
      <c r="M294" s="79" t="s">
        <v>19</v>
      </c>
      <c r="N294" s="79" t="s">
        <v>20</v>
      </c>
      <c r="O294" s="79"/>
      <c r="P294" s="79">
        <v>9497</v>
      </c>
      <c r="Q294" s="79" t="s">
        <v>21</v>
      </c>
      <c r="R294" s="79" t="s">
        <v>61</v>
      </c>
      <c r="S294" s="79">
        <v>123456789</v>
      </c>
    </row>
    <row r="295" spans="1:19" x14ac:dyDescent="0.25">
      <c r="A295" s="79">
        <v>12345678</v>
      </c>
      <c r="B295" s="79" t="s">
        <v>655</v>
      </c>
      <c r="C295" s="82" t="s">
        <v>656</v>
      </c>
      <c r="D295" s="79">
        <v>123456</v>
      </c>
      <c r="E295" s="81">
        <v>12334567000189</v>
      </c>
      <c r="F295" s="79" t="s">
        <v>60</v>
      </c>
      <c r="G295" s="79" t="s">
        <v>23</v>
      </c>
      <c r="H295" s="79">
        <v>288.10000000000002</v>
      </c>
      <c r="I295" s="79">
        <v>278.51</v>
      </c>
      <c r="J295" s="79">
        <v>9.59</v>
      </c>
      <c r="K295" s="79" t="s">
        <v>28</v>
      </c>
      <c r="L295" s="79" t="s">
        <v>19</v>
      </c>
      <c r="M295" s="79" t="s">
        <v>29</v>
      </c>
      <c r="N295" s="79" t="s">
        <v>20</v>
      </c>
      <c r="O295" s="79"/>
      <c r="P295" s="79">
        <v>3789</v>
      </c>
      <c r="Q295" s="79" t="s">
        <v>102</v>
      </c>
      <c r="R295" s="79" t="s">
        <v>61</v>
      </c>
      <c r="S295" s="79">
        <v>123456789</v>
      </c>
    </row>
    <row r="296" spans="1:19" x14ac:dyDescent="0.25">
      <c r="A296" s="79">
        <v>12345678</v>
      </c>
      <c r="B296" s="79" t="s">
        <v>657</v>
      </c>
      <c r="C296" s="82" t="s">
        <v>658</v>
      </c>
      <c r="D296" s="79">
        <v>123456</v>
      </c>
      <c r="E296" s="81">
        <v>12334567000189</v>
      </c>
      <c r="F296" s="79" t="s">
        <v>60</v>
      </c>
      <c r="G296" s="79" t="s">
        <v>23</v>
      </c>
      <c r="H296" s="79">
        <v>270.95999999999998</v>
      </c>
      <c r="I296" s="79">
        <v>262.25</v>
      </c>
      <c r="J296" s="79">
        <v>8.7100000000000009</v>
      </c>
      <c r="K296" s="79" t="s">
        <v>28</v>
      </c>
      <c r="L296" s="79" t="s">
        <v>19</v>
      </c>
      <c r="M296" s="79" t="s">
        <v>29</v>
      </c>
      <c r="N296" s="79" t="s">
        <v>20</v>
      </c>
      <c r="O296" s="79"/>
      <c r="P296" s="79">
        <v>6747</v>
      </c>
      <c r="Q296" s="79" t="s">
        <v>21</v>
      </c>
      <c r="R296" s="79" t="s">
        <v>61</v>
      </c>
      <c r="S296" s="79">
        <v>123456789</v>
      </c>
    </row>
    <row r="297" spans="1:19" x14ac:dyDescent="0.25">
      <c r="A297" s="79">
        <v>12345678</v>
      </c>
      <c r="B297" s="79" t="s">
        <v>659</v>
      </c>
      <c r="C297" s="82" t="s">
        <v>660</v>
      </c>
      <c r="D297" s="79">
        <v>123456</v>
      </c>
      <c r="E297" s="81">
        <v>12334567000189</v>
      </c>
      <c r="F297" s="79" t="s">
        <v>60</v>
      </c>
      <c r="G297" s="79" t="s">
        <v>23</v>
      </c>
      <c r="H297" s="79">
        <v>115.64</v>
      </c>
      <c r="I297" s="79">
        <v>114.71</v>
      </c>
      <c r="J297" s="79">
        <v>0.93</v>
      </c>
      <c r="K297" s="79" t="s">
        <v>22</v>
      </c>
      <c r="L297" s="79" t="s">
        <v>19</v>
      </c>
      <c r="M297" s="79" t="s">
        <v>19</v>
      </c>
      <c r="N297" s="79" t="s">
        <v>20</v>
      </c>
      <c r="O297" s="79"/>
      <c r="P297" s="79">
        <v>5487</v>
      </c>
      <c r="Q297" s="79" t="s">
        <v>21</v>
      </c>
      <c r="R297" s="79" t="s">
        <v>61</v>
      </c>
      <c r="S297" s="79">
        <v>123456789</v>
      </c>
    </row>
    <row r="298" spans="1:19" x14ac:dyDescent="0.25">
      <c r="A298" s="79">
        <v>12345678</v>
      </c>
      <c r="B298" s="79" t="s">
        <v>661</v>
      </c>
      <c r="C298" s="82" t="s">
        <v>662</v>
      </c>
      <c r="D298" s="79">
        <v>123456</v>
      </c>
      <c r="E298" s="81">
        <v>12334567000189</v>
      </c>
      <c r="F298" s="79" t="s">
        <v>60</v>
      </c>
      <c r="G298" s="79" t="s">
        <v>23</v>
      </c>
      <c r="H298" s="79">
        <v>569.55999999999995</v>
      </c>
      <c r="I298" s="79">
        <v>557.24</v>
      </c>
      <c r="J298" s="79">
        <v>12.32</v>
      </c>
      <c r="K298" s="79" t="s">
        <v>25</v>
      </c>
      <c r="L298" s="79" t="s">
        <v>19</v>
      </c>
      <c r="M298" s="79" t="s">
        <v>89</v>
      </c>
      <c r="N298" s="79" t="s">
        <v>20</v>
      </c>
      <c r="O298" s="79"/>
      <c r="P298" s="79">
        <v>3664</v>
      </c>
      <c r="Q298" s="79" t="s">
        <v>21</v>
      </c>
      <c r="R298" s="79" t="s">
        <v>61</v>
      </c>
      <c r="S298" s="79">
        <v>123456789</v>
      </c>
    </row>
    <row r="299" spans="1:19" x14ac:dyDescent="0.25">
      <c r="A299" s="79">
        <v>12345678</v>
      </c>
      <c r="B299" s="79" t="s">
        <v>663</v>
      </c>
      <c r="C299" s="82" t="s">
        <v>664</v>
      </c>
      <c r="D299" s="79">
        <v>123456</v>
      </c>
      <c r="E299" s="81">
        <v>12334567000189</v>
      </c>
      <c r="F299" s="79" t="s">
        <v>60</v>
      </c>
      <c r="G299" s="79" t="s">
        <v>23</v>
      </c>
      <c r="H299" s="79">
        <v>14.52</v>
      </c>
      <c r="I299" s="79">
        <v>14.08</v>
      </c>
      <c r="J299" s="79">
        <v>0.44</v>
      </c>
      <c r="K299" s="79" t="s">
        <v>28</v>
      </c>
      <c r="L299" s="79" t="s">
        <v>19</v>
      </c>
      <c r="M299" s="79" t="s">
        <v>26</v>
      </c>
      <c r="N299" s="79" t="s">
        <v>20</v>
      </c>
      <c r="O299" s="79"/>
      <c r="P299" s="79">
        <v>7539</v>
      </c>
      <c r="Q299" s="79" t="s">
        <v>62</v>
      </c>
      <c r="R299" s="79" t="s">
        <v>61</v>
      </c>
      <c r="S299" s="79">
        <v>123456789</v>
      </c>
    </row>
    <row r="300" spans="1:19" x14ac:dyDescent="0.25">
      <c r="A300" s="79">
        <v>12345678</v>
      </c>
      <c r="B300" s="79" t="s">
        <v>665</v>
      </c>
      <c r="C300" s="82" t="s">
        <v>666</v>
      </c>
      <c r="D300" s="79">
        <v>123456</v>
      </c>
      <c r="E300" s="81">
        <v>12334567000189</v>
      </c>
      <c r="F300" s="79" t="s">
        <v>60</v>
      </c>
      <c r="G300" s="79" t="s">
        <v>23</v>
      </c>
      <c r="H300" s="79">
        <v>97.59</v>
      </c>
      <c r="I300" s="79">
        <v>96.69</v>
      </c>
      <c r="J300" s="79">
        <v>0.9</v>
      </c>
      <c r="K300" s="79" t="s">
        <v>22</v>
      </c>
      <c r="L300" s="79" t="s">
        <v>19</v>
      </c>
      <c r="M300" s="79" t="s">
        <v>19</v>
      </c>
      <c r="N300" s="79" t="s">
        <v>20</v>
      </c>
      <c r="O300" s="79"/>
      <c r="P300" s="79">
        <v>7721</v>
      </c>
      <c r="Q300" s="79" t="s">
        <v>21</v>
      </c>
      <c r="R300" s="79" t="s">
        <v>61</v>
      </c>
      <c r="S300" s="79">
        <v>123456789</v>
      </c>
    </row>
    <row r="301" spans="1:19" x14ac:dyDescent="0.25">
      <c r="A301" s="79">
        <v>12345678</v>
      </c>
      <c r="B301" s="79" t="s">
        <v>667</v>
      </c>
      <c r="C301" s="82" t="s">
        <v>668</v>
      </c>
      <c r="D301" s="79">
        <v>123456</v>
      </c>
      <c r="E301" s="81">
        <v>12334567000189</v>
      </c>
      <c r="F301" s="79" t="s">
        <v>60</v>
      </c>
      <c r="G301" s="79" t="s">
        <v>23</v>
      </c>
      <c r="H301" s="79">
        <v>232.36</v>
      </c>
      <c r="I301" s="79">
        <v>225.08</v>
      </c>
      <c r="J301" s="79">
        <v>7.28</v>
      </c>
      <c r="K301" s="79" t="s">
        <v>28</v>
      </c>
      <c r="L301" s="79" t="s">
        <v>19</v>
      </c>
      <c r="M301" s="79" t="s">
        <v>27</v>
      </c>
      <c r="N301" s="79" t="s">
        <v>20</v>
      </c>
      <c r="O301" s="79"/>
      <c r="P301" s="79">
        <v>9369</v>
      </c>
      <c r="Q301" s="79" t="s">
        <v>21</v>
      </c>
      <c r="R301" s="79" t="s">
        <v>61</v>
      </c>
      <c r="S301" s="79">
        <v>123456789</v>
      </c>
    </row>
    <row r="302" spans="1:19" x14ac:dyDescent="0.25">
      <c r="A302" s="79">
        <v>12345678</v>
      </c>
      <c r="B302" s="79" t="s">
        <v>669</v>
      </c>
      <c r="C302" s="82" t="s">
        <v>670</v>
      </c>
      <c r="D302" s="79">
        <v>123456</v>
      </c>
      <c r="E302" s="81">
        <v>12334567000189</v>
      </c>
      <c r="F302" s="79" t="s">
        <v>60</v>
      </c>
      <c r="G302" s="79" t="s">
        <v>23</v>
      </c>
      <c r="H302" s="79">
        <v>51.8</v>
      </c>
      <c r="I302" s="79">
        <v>50.78</v>
      </c>
      <c r="J302" s="79">
        <v>1.02</v>
      </c>
      <c r="K302" s="79" t="s">
        <v>25</v>
      </c>
      <c r="L302" s="79" t="s">
        <v>19</v>
      </c>
      <c r="M302" s="79" t="s">
        <v>24</v>
      </c>
      <c r="N302" s="79" t="s">
        <v>20</v>
      </c>
      <c r="O302" s="79"/>
      <c r="P302" s="79">
        <v>9957</v>
      </c>
      <c r="Q302" s="79" t="s">
        <v>21</v>
      </c>
      <c r="R302" s="79" t="s">
        <v>61</v>
      </c>
      <c r="S302" s="79">
        <v>123456789</v>
      </c>
    </row>
    <row r="303" spans="1:19" x14ac:dyDescent="0.25">
      <c r="A303" s="79">
        <v>12345678</v>
      </c>
      <c r="B303" s="79" t="s">
        <v>671</v>
      </c>
      <c r="C303" s="82" t="s">
        <v>672</v>
      </c>
      <c r="D303" s="79">
        <v>123456</v>
      </c>
      <c r="E303" s="81">
        <v>12334567000189</v>
      </c>
      <c r="F303" s="79" t="s">
        <v>60</v>
      </c>
      <c r="G303" s="79" t="s">
        <v>23</v>
      </c>
      <c r="H303" s="79">
        <v>200.87</v>
      </c>
      <c r="I303" s="79">
        <v>194.47</v>
      </c>
      <c r="J303" s="79">
        <v>6.4</v>
      </c>
      <c r="K303" s="79" t="s">
        <v>28</v>
      </c>
      <c r="L303" s="79" t="s">
        <v>19</v>
      </c>
      <c r="M303" s="79" t="s">
        <v>27</v>
      </c>
      <c r="N303" s="79" t="s">
        <v>20</v>
      </c>
      <c r="O303" s="79"/>
      <c r="P303" s="79">
        <v>8282</v>
      </c>
      <c r="Q303" s="79" t="s">
        <v>21</v>
      </c>
      <c r="R303" s="79" t="s">
        <v>61</v>
      </c>
      <c r="S303" s="79">
        <v>123456789</v>
      </c>
    </row>
    <row r="304" spans="1:19" x14ac:dyDescent="0.25">
      <c r="A304" s="79">
        <v>12345678</v>
      </c>
      <c r="B304" s="79" t="s">
        <v>673</v>
      </c>
      <c r="C304" s="82" t="s">
        <v>674</v>
      </c>
      <c r="D304" s="79">
        <v>123456</v>
      </c>
      <c r="E304" s="81">
        <v>12334567000189</v>
      </c>
      <c r="F304" s="79" t="s">
        <v>60</v>
      </c>
      <c r="G304" s="79" t="s">
        <v>23</v>
      </c>
      <c r="H304" s="79">
        <v>1180.74</v>
      </c>
      <c r="I304" s="79">
        <v>1132.51</v>
      </c>
      <c r="J304" s="79">
        <v>48.23</v>
      </c>
      <c r="K304" s="79" t="s">
        <v>28</v>
      </c>
      <c r="L304" s="79" t="s">
        <v>19</v>
      </c>
      <c r="M304" s="79" t="s">
        <v>26</v>
      </c>
      <c r="N304" s="79" t="s">
        <v>20</v>
      </c>
      <c r="O304" s="79"/>
      <c r="P304" s="79">
        <v>9306</v>
      </c>
      <c r="Q304" s="79" t="s">
        <v>21</v>
      </c>
      <c r="R304" s="79" t="s">
        <v>61</v>
      </c>
      <c r="S304" s="79">
        <v>123456789</v>
      </c>
    </row>
    <row r="305" spans="1:19" x14ac:dyDescent="0.25">
      <c r="A305" s="79">
        <v>12345678</v>
      </c>
      <c r="B305" s="79" t="s">
        <v>675</v>
      </c>
      <c r="C305" s="82" t="s">
        <v>676</v>
      </c>
      <c r="D305" s="79">
        <v>123456</v>
      </c>
      <c r="E305" s="81">
        <v>12334567000189</v>
      </c>
      <c r="F305" s="79" t="s">
        <v>60</v>
      </c>
      <c r="G305" s="79" t="s">
        <v>23</v>
      </c>
      <c r="H305" s="79">
        <v>103.98</v>
      </c>
      <c r="I305" s="79">
        <v>101.73</v>
      </c>
      <c r="J305" s="79">
        <v>2.25</v>
      </c>
      <c r="K305" s="79" t="s">
        <v>25</v>
      </c>
      <c r="L305" s="79" t="s">
        <v>19</v>
      </c>
      <c r="M305" s="79" t="s">
        <v>26</v>
      </c>
      <c r="N305" s="79" t="s">
        <v>20</v>
      </c>
      <c r="O305" s="79"/>
      <c r="P305" s="79">
        <v>8234</v>
      </c>
      <c r="Q305" s="79" t="s">
        <v>21</v>
      </c>
      <c r="R305" s="79" t="s">
        <v>61</v>
      </c>
      <c r="S305" s="79">
        <v>123456789</v>
      </c>
    </row>
    <row r="306" spans="1:19" x14ac:dyDescent="0.25">
      <c r="A306" s="79">
        <v>12345678</v>
      </c>
      <c r="B306" s="79" t="s">
        <v>677</v>
      </c>
      <c r="C306" s="82" t="s">
        <v>678</v>
      </c>
      <c r="D306" s="79">
        <v>123456</v>
      </c>
      <c r="E306" s="81">
        <v>12334567000189</v>
      </c>
      <c r="F306" s="79" t="s">
        <v>60</v>
      </c>
      <c r="G306" s="79" t="s">
        <v>23</v>
      </c>
      <c r="H306" s="79">
        <v>854.13</v>
      </c>
      <c r="I306" s="79">
        <v>840.56</v>
      </c>
      <c r="J306" s="79">
        <v>13.57</v>
      </c>
      <c r="K306" s="79" t="s">
        <v>25</v>
      </c>
      <c r="L306" s="79" t="s">
        <v>19</v>
      </c>
      <c r="M306" s="79" t="s">
        <v>69</v>
      </c>
      <c r="N306" s="79" t="s">
        <v>20</v>
      </c>
      <c r="O306" s="79"/>
      <c r="P306" s="79">
        <v>9653</v>
      </c>
      <c r="Q306" s="79" t="s">
        <v>21</v>
      </c>
      <c r="R306" s="79" t="s">
        <v>61</v>
      </c>
      <c r="S306" s="79">
        <v>123456789</v>
      </c>
    </row>
    <row r="307" spans="1:19" x14ac:dyDescent="0.25">
      <c r="A307" s="79">
        <v>12345678</v>
      </c>
      <c r="B307" s="79" t="s">
        <v>679</v>
      </c>
      <c r="C307" s="82" t="s">
        <v>680</v>
      </c>
      <c r="D307" s="79">
        <v>123456</v>
      </c>
      <c r="E307" s="81">
        <v>12334567000189</v>
      </c>
      <c r="F307" s="79" t="s">
        <v>60</v>
      </c>
      <c r="G307" s="79" t="s">
        <v>23</v>
      </c>
      <c r="H307" s="79">
        <v>147.38</v>
      </c>
      <c r="I307" s="79">
        <v>142.18</v>
      </c>
      <c r="J307" s="79">
        <v>5.2</v>
      </c>
      <c r="K307" s="79" t="s">
        <v>28</v>
      </c>
      <c r="L307" s="79" t="s">
        <v>19</v>
      </c>
      <c r="M307" s="79" t="s">
        <v>89</v>
      </c>
      <c r="N307" s="79" t="s">
        <v>20</v>
      </c>
      <c r="O307" s="79"/>
      <c r="P307" s="79">
        <v>9192</v>
      </c>
      <c r="Q307" s="79" t="s">
        <v>102</v>
      </c>
      <c r="R307" s="79" t="s">
        <v>61</v>
      </c>
      <c r="S307" s="79">
        <v>123456789</v>
      </c>
    </row>
    <row r="308" spans="1:19" x14ac:dyDescent="0.25">
      <c r="A308" s="79">
        <v>12345678</v>
      </c>
      <c r="B308" s="79" t="s">
        <v>681</v>
      </c>
      <c r="C308" s="82" t="s">
        <v>682</v>
      </c>
      <c r="D308" s="79">
        <v>123456</v>
      </c>
      <c r="E308" s="81">
        <v>12334567000189</v>
      </c>
      <c r="F308" s="79" t="s">
        <v>60</v>
      </c>
      <c r="G308" s="79" t="s">
        <v>23</v>
      </c>
      <c r="H308" s="79">
        <v>268.62</v>
      </c>
      <c r="I308" s="79">
        <v>258.20999999999998</v>
      </c>
      <c r="J308" s="79">
        <v>10.41</v>
      </c>
      <c r="K308" s="79" t="s">
        <v>28</v>
      </c>
      <c r="L308" s="79" t="s">
        <v>19</v>
      </c>
      <c r="M308" s="79" t="s">
        <v>26</v>
      </c>
      <c r="N308" s="79" t="s">
        <v>20</v>
      </c>
      <c r="O308" s="79"/>
      <c r="P308" s="79">
        <v>3121</v>
      </c>
      <c r="Q308" s="79" t="s">
        <v>21</v>
      </c>
      <c r="R308" s="79" t="s">
        <v>61</v>
      </c>
      <c r="S308" s="79">
        <v>123456789</v>
      </c>
    </row>
    <row r="309" spans="1:19" x14ac:dyDescent="0.25">
      <c r="A309" s="79">
        <v>12345678</v>
      </c>
      <c r="B309" s="79" t="s">
        <v>683</v>
      </c>
      <c r="C309" s="82" t="s">
        <v>684</v>
      </c>
      <c r="D309" s="79">
        <v>123456</v>
      </c>
      <c r="E309" s="81">
        <v>12334567000189</v>
      </c>
      <c r="F309" s="79" t="s">
        <v>60</v>
      </c>
      <c r="G309" s="79" t="s">
        <v>23</v>
      </c>
      <c r="H309" s="79">
        <v>157.21</v>
      </c>
      <c r="I309" s="79">
        <v>150.96</v>
      </c>
      <c r="J309" s="79">
        <v>6.25</v>
      </c>
      <c r="K309" s="79" t="s">
        <v>28</v>
      </c>
      <c r="L309" s="79" t="s">
        <v>19</v>
      </c>
      <c r="M309" s="79" t="s">
        <v>24</v>
      </c>
      <c r="N309" s="79" t="s">
        <v>20</v>
      </c>
      <c r="O309" s="79"/>
      <c r="P309" s="79">
        <v>4902</v>
      </c>
      <c r="Q309" s="79" t="s">
        <v>21</v>
      </c>
      <c r="R309" s="79" t="s">
        <v>61</v>
      </c>
      <c r="S309" s="79">
        <v>123456789</v>
      </c>
    </row>
    <row r="310" spans="1:19" x14ac:dyDescent="0.25">
      <c r="A310" s="79">
        <v>12345678</v>
      </c>
      <c r="B310" s="79" t="s">
        <v>685</v>
      </c>
      <c r="C310" s="82" t="s">
        <v>686</v>
      </c>
      <c r="D310" s="79">
        <v>123456</v>
      </c>
      <c r="E310" s="81">
        <v>12334567000189</v>
      </c>
      <c r="F310" s="79" t="s">
        <v>60</v>
      </c>
      <c r="G310" s="79" t="s">
        <v>23</v>
      </c>
      <c r="H310" s="79">
        <v>226.77</v>
      </c>
      <c r="I310" s="79">
        <v>216.95</v>
      </c>
      <c r="J310" s="79">
        <v>9.82</v>
      </c>
      <c r="K310" s="79" t="s">
        <v>28</v>
      </c>
      <c r="L310" s="79" t="s">
        <v>19</v>
      </c>
      <c r="M310" s="79" t="s">
        <v>89</v>
      </c>
      <c r="N310" s="79" t="s">
        <v>20</v>
      </c>
      <c r="O310" s="79"/>
      <c r="P310" s="79">
        <v>7011</v>
      </c>
      <c r="Q310" s="79" t="s">
        <v>21</v>
      </c>
      <c r="R310" s="79" t="s">
        <v>61</v>
      </c>
      <c r="S310" s="79">
        <v>123456789</v>
      </c>
    </row>
    <row r="311" spans="1:19" x14ac:dyDescent="0.25">
      <c r="A311" s="79">
        <v>12345678</v>
      </c>
      <c r="B311" s="79" t="s">
        <v>687</v>
      </c>
      <c r="C311" s="82" t="s">
        <v>688</v>
      </c>
      <c r="D311" s="79">
        <v>123456</v>
      </c>
      <c r="E311" s="81">
        <v>12334567000189</v>
      </c>
      <c r="F311" s="79" t="s">
        <v>60</v>
      </c>
      <c r="G311" s="79" t="s">
        <v>23</v>
      </c>
      <c r="H311" s="79">
        <v>162.78</v>
      </c>
      <c r="I311" s="79">
        <v>160.27000000000001</v>
      </c>
      <c r="J311" s="79">
        <v>2.5099999999999998</v>
      </c>
      <c r="K311" s="79" t="s">
        <v>25</v>
      </c>
      <c r="L311" s="79" t="s">
        <v>19</v>
      </c>
      <c r="M311" s="79" t="s">
        <v>69</v>
      </c>
      <c r="N311" s="79" t="s">
        <v>20</v>
      </c>
      <c r="O311" s="79"/>
      <c r="P311" s="79">
        <v>5921</v>
      </c>
      <c r="Q311" s="79" t="s">
        <v>21</v>
      </c>
      <c r="R311" s="79" t="s">
        <v>61</v>
      </c>
      <c r="S311" s="79">
        <v>123456789</v>
      </c>
    </row>
    <row r="312" spans="1:19" x14ac:dyDescent="0.25">
      <c r="A312" s="79">
        <v>12345678</v>
      </c>
      <c r="B312" s="79" t="s">
        <v>689</v>
      </c>
      <c r="C312" s="82" t="s">
        <v>690</v>
      </c>
      <c r="D312" s="79">
        <v>123456</v>
      </c>
      <c r="E312" s="81">
        <v>12334567000189</v>
      </c>
      <c r="F312" s="79" t="s">
        <v>60</v>
      </c>
      <c r="G312" s="79" t="s">
        <v>23</v>
      </c>
      <c r="H312" s="79">
        <v>186.83</v>
      </c>
      <c r="I312" s="79">
        <v>183.57</v>
      </c>
      <c r="J312" s="79">
        <v>3.26</v>
      </c>
      <c r="K312" s="79" t="s">
        <v>25</v>
      </c>
      <c r="L312" s="79" t="s">
        <v>19</v>
      </c>
      <c r="M312" s="79" t="s">
        <v>24</v>
      </c>
      <c r="N312" s="79" t="s">
        <v>20</v>
      </c>
      <c r="O312" s="79"/>
      <c r="P312" s="79">
        <v>2789</v>
      </c>
      <c r="Q312" s="79" t="s">
        <v>21</v>
      </c>
      <c r="R312" s="79" t="s">
        <v>61</v>
      </c>
      <c r="S312" s="79">
        <v>123456789</v>
      </c>
    </row>
    <row r="313" spans="1:19" x14ac:dyDescent="0.25">
      <c r="A313" s="79">
        <v>12345678</v>
      </c>
      <c r="B313" s="79" t="s">
        <v>691</v>
      </c>
      <c r="C313" s="82" t="s">
        <v>692</v>
      </c>
      <c r="D313" s="79">
        <v>123456</v>
      </c>
      <c r="E313" s="81">
        <v>12334567000189</v>
      </c>
      <c r="F313" s="79" t="s">
        <v>60</v>
      </c>
      <c r="G313" s="79" t="s">
        <v>125</v>
      </c>
      <c r="H313" s="79">
        <v>472.45</v>
      </c>
      <c r="I313" s="79">
        <v>462.09</v>
      </c>
      <c r="J313" s="79">
        <v>10.36</v>
      </c>
      <c r="K313" s="79" t="s">
        <v>25</v>
      </c>
      <c r="L313" s="79" t="s">
        <v>19</v>
      </c>
      <c r="M313" s="79" t="s">
        <v>89</v>
      </c>
      <c r="N313" s="79" t="s">
        <v>20</v>
      </c>
      <c r="O313" s="79"/>
      <c r="P313" s="79">
        <v>6259</v>
      </c>
      <c r="Q313" s="79" t="s">
        <v>21</v>
      </c>
      <c r="R313" s="79" t="s">
        <v>61</v>
      </c>
      <c r="S313" s="79">
        <v>123456789</v>
      </c>
    </row>
    <row r="314" spans="1:19" x14ac:dyDescent="0.25">
      <c r="A314" s="79">
        <v>12345678</v>
      </c>
      <c r="B314" s="79" t="s">
        <v>693</v>
      </c>
      <c r="C314" s="82" t="s">
        <v>694</v>
      </c>
      <c r="D314" s="79">
        <v>123456</v>
      </c>
      <c r="E314" s="81">
        <v>12334567000189</v>
      </c>
      <c r="F314" s="79" t="s">
        <v>60</v>
      </c>
      <c r="G314" s="79" t="s">
        <v>23</v>
      </c>
      <c r="H314" s="79">
        <v>15.01</v>
      </c>
      <c r="I314" s="79">
        <v>14.81</v>
      </c>
      <c r="J314" s="79">
        <v>0.2</v>
      </c>
      <c r="K314" s="79" t="s">
        <v>25</v>
      </c>
      <c r="L314" s="79" t="s">
        <v>19</v>
      </c>
      <c r="M314" s="79" t="s">
        <v>29</v>
      </c>
      <c r="N314" s="79" t="s">
        <v>20</v>
      </c>
      <c r="O314" s="79"/>
      <c r="P314" s="79">
        <v>1687</v>
      </c>
      <c r="Q314" s="79" t="s">
        <v>21</v>
      </c>
      <c r="R314" s="79" t="s">
        <v>61</v>
      </c>
      <c r="S314" s="79">
        <v>123456789</v>
      </c>
    </row>
    <row r="315" spans="1:19" x14ac:dyDescent="0.25">
      <c r="A315" s="79">
        <v>12345678</v>
      </c>
      <c r="B315" s="79" t="s">
        <v>695</v>
      </c>
      <c r="C315" s="82" t="s">
        <v>696</v>
      </c>
      <c r="D315" s="79">
        <v>123456</v>
      </c>
      <c r="E315" s="81">
        <v>12334567000189</v>
      </c>
      <c r="F315" s="79" t="s">
        <v>60</v>
      </c>
      <c r="G315" s="79" t="s">
        <v>23</v>
      </c>
      <c r="H315" s="79">
        <v>1495.18</v>
      </c>
      <c r="I315" s="79">
        <v>1462.62</v>
      </c>
      <c r="J315" s="79">
        <v>32.56</v>
      </c>
      <c r="K315" s="79" t="s">
        <v>25</v>
      </c>
      <c r="L315" s="79" t="s">
        <v>19</v>
      </c>
      <c r="M315" s="79" t="s">
        <v>29</v>
      </c>
      <c r="N315" s="79" t="s">
        <v>20</v>
      </c>
      <c r="O315" s="79"/>
      <c r="P315" s="79">
        <v>1510</v>
      </c>
      <c r="Q315" s="79" t="s">
        <v>21</v>
      </c>
      <c r="R315" s="79" t="s">
        <v>61</v>
      </c>
      <c r="S315" s="79">
        <v>123456789</v>
      </c>
    </row>
    <row r="316" spans="1:19" x14ac:dyDescent="0.25">
      <c r="A316" s="79">
        <v>12345678</v>
      </c>
      <c r="B316" s="79" t="s">
        <v>697</v>
      </c>
      <c r="C316" s="82" t="s">
        <v>698</v>
      </c>
      <c r="D316" s="79">
        <v>123456</v>
      </c>
      <c r="E316" s="81">
        <v>12334567000189</v>
      </c>
      <c r="F316" s="79" t="s">
        <v>60</v>
      </c>
      <c r="G316" s="79" t="s">
        <v>23</v>
      </c>
      <c r="H316" s="79">
        <v>847.12</v>
      </c>
      <c r="I316" s="79">
        <v>821.38</v>
      </c>
      <c r="J316" s="79">
        <v>25.74</v>
      </c>
      <c r="K316" s="79" t="s">
        <v>28</v>
      </c>
      <c r="L316" s="79" t="s">
        <v>19</v>
      </c>
      <c r="M316" s="79" t="s">
        <v>89</v>
      </c>
      <c r="N316" s="79" t="s">
        <v>20</v>
      </c>
      <c r="O316" s="79"/>
      <c r="P316" s="79">
        <v>9592</v>
      </c>
      <c r="Q316" s="79" t="s">
        <v>21</v>
      </c>
      <c r="R316" s="79" t="s">
        <v>61</v>
      </c>
      <c r="S316" s="79">
        <v>123456789</v>
      </c>
    </row>
    <row r="317" spans="1:19" x14ac:dyDescent="0.25">
      <c r="A317" s="79">
        <v>12345678</v>
      </c>
      <c r="B317" s="79" t="s">
        <v>699</v>
      </c>
      <c r="C317" s="82" t="s">
        <v>700</v>
      </c>
      <c r="D317" s="79">
        <v>123456</v>
      </c>
      <c r="E317" s="81">
        <v>12334567000189</v>
      </c>
      <c r="F317" s="79" t="s">
        <v>60</v>
      </c>
      <c r="G317" s="79" t="s">
        <v>23</v>
      </c>
      <c r="H317" s="79">
        <v>176.82</v>
      </c>
      <c r="I317" s="79">
        <v>169.1</v>
      </c>
      <c r="J317" s="79">
        <v>7.72</v>
      </c>
      <c r="K317" s="79" t="s">
        <v>28</v>
      </c>
      <c r="L317" s="79" t="s">
        <v>19</v>
      </c>
      <c r="M317" s="79" t="s">
        <v>26</v>
      </c>
      <c r="N317" s="79" t="s">
        <v>20</v>
      </c>
      <c r="O317" s="79"/>
      <c r="P317" s="79">
        <v>5264</v>
      </c>
      <c r="Q317" s="79" t="s">
        <v>21</v>
      </c>
      <c r="R317" s="79" t="s">
        <v>61</v>
      </c>
      <c r="S317" s="79">
        <v>123456789</v>
      </c>
    </row>
    <row r="318" spans="1:19" x14ac:dyDescent="0.25">
      <c r="A318" s="79">
        <v>12345678</v>
      </c>
      <c r="B318" s="79" t="s">
        <v>701</v>
      </c>
      <c r="C318" s="82" t="s">
        <v>702</v>
      </c>
      <c r="D318" s="79">
        <v>123456</v>
      </c>
      <c r="E318" s="81">
        <v>12334567000189</v>
      </c>
      <c r="F318" s="79" t="s">
        <v>60</v>
      </c>
      <c r="G318" s="79" t="s">
        <v>23</v>
      </c>
      <c r="H318" s="79">
        <v>128.47</v>
      </c>
      <c r="I318" s="79">
        <v>126.22</v>
      </c>
      <c r="J318" s="79">
        <v>2.25</v>
      </c>
      <c r="K318" s="79" t="s">
        <v>25</v>
      </c>
      <c r="L318" s="79" t="s">
        <v>19</v>
      </c>
      <c r="M318" s="79" t="s">
        <v>27</v>
      </c>
      <c r="N318" s="79" t="s">
        <v>20</v>
      </c>
      <c r="O318" s="79"/>
      <c r="P318" s="79">
        <v>2950</v>
      </c>
      <c r="Q318" s="79" t="s">
        <v>21</v>
      </c>
      <c r="R318" s="79" t="s">
        <v>61</v>
      </c>
      <c r="S318" s="79">
        <v>123456789</v>
      </c>
    </row>
    <row r="319" spans="1:19" x14ac:dyDescent="0.25">
      <c r="A319" s="79">
        <v>12345678</v>
      </c>
      <c r="B319" s="79" t="s">
        <v>703</v>
      </c>
      <c r="C319" s="82" t="s">
        <v>704</v>
      </c>
      <c r="D319" s="79">
        <v>123456</v>
      </c>
      <c r="E319" s="81">
        <v>12334567000189</v>
      </c>
      <c r="F319" s="79" t="s">
        <v>60</v>
      </c>
      <c r="G319" s="79" t="s">
        <v>23</v>
      </c>
      <c r="H319" s="79">
        <v>186.54</v>
      </c>
      <c r="I319" s="79">
        <v>180.64</v>
      </c>
      <c r="J319" s="79">
        <v>5.9</v>
      </c>
      <c r="K319" s="79" t="s">
        <v>28</v>
      </c>
      <c r="L319" s="79" t="s">
        <v>19</v>
      </c>
      <c r="M319" s="79" t="s">
        <v>69</v>
      </c>
      <c r="N319" s="79" t="s">
        <v>20</v>
      </c>
      <c r="O319" s="79"/>
      <c r="P319" s="79">
        <v>5871</v>
      </c>
      <c r="Q319" s="79" t="s">
        <v>21</v>
      </c>
      <c r="R319" s="79" t="s">
        <v>61</v>
      </c>
      <c r="S319" s="79">
        <v>123456789</v>
      </c>
    </row>
    <row r="320" spans="1:19" x14ac:dyDescent="0.25">
      <c r="A320" s="79">
        <v>12345678</v>
      </c>
      <c r="B320" s="79" t="s">
        <v>705</v>
      </c>
      <c r="C320" s="82" t="s">
        <v>706</v>
      </c>
      <c r="D320" s="79">
        <v>123456</v>
      </c>
      <c r="E320" s="81">
        <v>12334567000189</v>
      </c>
      <c r="F320" s="79" t="s">
        <v>60</v>
      </c>
      <c r="G320" s="79" t="s">
        <v>23</v>
      </c>
      <c r="H320" s="79">
        <v>162.31</v>
      </c>
      <c r="I320" s="79">
        <v>156.19999999999999</v>
      </c>
      <c r="J320" s="79">
        <v>6.11</v>
      </c>
      <c r="K320" s="79" t="s">
        <v>28</v>
      </c>
      <c r="L320" s="79" t="s">
        <v>19</v>
      </c>
      <c r="M320" s="79" t="s">
        <v>24</v>
      </c>
      <c r="N320" s="79" t="s">
        <v>20</v>
      </c>
      <c r="O320" s="79"/>
      <c r="P320" s="79">
        <v>9334</v>
      </c>
      <c r="Q320" s="79" t="s">
        <v>21</v>
      </c>
      <c r="R320" s="79" t="s">
        <v>61</v>
      </c>
      <c r="S320" s="79">
        <v>123456789</v>
      </c>
    </row>
    <row r="321" spans="1:19" x14ac:dyDescent="0.25">
      <c r="A321" s="79">
        <v>12345678</v>
      </c>
      <c r="B321" s="79" t="s">
        <v>707</v>
      </c>
      <c r="C321" s="82" t="s">
        <v>708</v>
      </c>
      <c r="D321" s="79">
        <v>123456</v>
      </c>
      <c r="E321" s="81">
        <v>12334567000189</v>
      </c>
      <c r="F321" s="79" t="s">
        <v>60</v>
      </c>
      <c r="G321" s="79" t="s">
        <v>23</v>
      </c>
      <c r="H321" s="79">
        <v>875.91</v>
      </c>
      <c r="I321" s="79">
        <v>860.27</v>
      </c>
      <c r="J321" s="79">
        <v>15.64</v>
      </c>
      <c r="K321" s="79" t="s">
        <v>25</v>
      </c>
      <c r="L321" s="79" t="s">
        <v>19</v>
      </c>
      <c r="M321" s="79" t="s">
        <v>27</v>
      </c>
      <c r="N321" s="79" t="s">
        <v>20</v>
      </c>
      <c r="O321" s="79"/>
      <c r="P321" s="79">
        <v>6359</v>
      </c>
      <c r="Q321" s="79" t="s">
        <v>21</v>
      </c>
      <c r="R321" s="79" t="s">
        <v>61</v>
      </c>
      <c r="S321" s="79">
        <v>123456789</v>
      </c>
    </row>
    <row r="322" spans="1:19" x14ac:dyDescent="0.25">
      <c r="A322" s="79">
        <v>12345678</v>
      </c>
      <c r="B322" s="79" t="s">
        <v>709</v>
      </c>
      <c r="C322" s="82" t="s">
        <v>710</v>
      </c>
      <c r="D322" s="79">
        <v>123456</v>
      </c>
      <c r="E322" s="81">
        <v>12334567000189</v>
      </c>
      <c r="F322" s="79" t="s">
        <v>60</v>
      </c>
      <c r="G322" s="79" t="s">
        <v>23</v>
      </c>
      <c r="H322" s="79">
        <v>223.3</v>
      </c>
      <c r="I322" s="79">
        <v>214.35</v>
      </c>
      <c r="J322" s="79">
        <v>8.9499999999999993</v>
      </c>
      <c r="K322" s="79" t="s">
        <v>28</v>
      </c>
      <c r="L322" s="79" t="s">
        <v>19</v>
      </c>
      <c r="M322" s="79" t="s">
        <v>29</v>
      </c>
      <c r="N322" s="79" t="s">
        <v>20</v>
      </c>
      <c r="O322" s="79"/>
      <c r="P322" s="79">
        <v>4509</v>
      </c>
      <c r="Q322" s="79" t="s">
        <v>62</v>
      </c>
      <c r="R322" s="79" t="s">
        <v>61</v>
      </c>
      <c r="S322" s="79">
        <v>123456789</v>
      </c>
    </row>
    <row r="323" spans="1:19" x14ac:dyDescent="0.25">
      <c r="A323" s="79">
        <v>12345678</v>
      </c>
      <c r="B323" s="79" t="s">
        <v>711</v>
      </c>
      <c r="C323" s="82" t="s">
        <v>712</v>
      </c>
      <c r="D323" s="79">
        <v>123456</v>
      </c>
      <c r="E323" s="81">
        <v>12334567000189</v>
      </c>
      <c r="F323" s="79" t="s">
        <v>60</v>
      </c>
      <c r="G323" s="79" t="s">
        <v>23</v>
      </c>
      <c r="H323" s="79">
        <v>70.48</v>
      </c>
      <c r="I323" s="79">
        <v>68.180000000000007</v>
      </c>
      <c r="J323" s="79">
        <v>2.2999999999999998</v>
      </c>
      <c r="K323" s="79" t="s">
        <v>28</v>
      </c>
      <c r="L323" s="79" t="s">
        <v>19</v>
      </c>
      <c r="M323" s="79" t="s">
        <v>24</v>
      </c>
      <c r="N323" s="79" t="s">
        <v>20</v>
      </c>
      <c r="O323" s="79"/>
      <c r="P323" s="79">
        <v>6224</v>
      </c>
      <c r="Q323" s="79" t="s">
        <v>21</v>
      </c>
      <c r="R323" s="79" t="s">
        <v>61</v>
      </c>
      <c r="S323" s="79">
        <v>123456789</v>
      </c>
    </row>
    <row r="324" spans="1:19" x14ac:dyDescent="0.25">
      <c r="A324" s="79">
        <v>12345678</v>
      </c>
      <c r="B324" s="79" t="s">
        <v>713</v>
      </c>
      <c r="C324" s="82" t="s">
        <v>714</v>
      </c>
      <c r="D324" s="79">
        <v>123456</v>
      </c>
      <c r="E324" s="81">
        <v>12334567000189</v>
      </c>
      <c r="F324" s="79" t="s">
        <v>60</v>
      </c>
      <c r="G324" s="79" t="s">
        <v>23</v>
      </c>
      <c r="H324" s="79">
        <v>47.14</v>
      </c>
      <c r="I324" s="79">
        <v>46.15</v>
      </c>
      <c r="J324" s="79">
        <v>0.99</v>
      </c>
      <c r="K324" s="79" t="s">
        <v>25</v>
      </c>
      <c r="L324" s="79" t="s">
        <v>19</v>
      </c>
      <c r="M324" s="79" t="s">
        <v>24</v>
      </c>
      <c r="N324" s="79" t="s">
        <v>20</v>
      </c>
      <c r="O324" s="79"/>
      <c r="P324" s="79">
        <v>2807</v>
      </c>
      <c r="Q324" s="79" t="s">
        <v>21</v>
      </c>
      <c r="R324" s="79" t="s">
        <v>61</v>
      </c>
      <c r="S324" s="79">
        <v>123456789</v>
      </c>
    </row>
    <row r="325" spans="1:19" x14ac:dyDescent="0.25">
      <c r="A325" s="79">
        <v>12345678</v>
      </c>
      <c r="B325" s="79" t="s">
        <v>715</v>
      </c>
      <c r="C325" s="82" t="s">
        <v>716</v>
      </c>
      <c r="D325" s="79">
        <v>123456</v>
      </c>
      <c r="E325" s="81">
        <v>12334567000189</v>
      </c>
      <c r="F325" s="79" t="s">
        <v>60</v>
      </c>
      <c r="G325" s="79" t="s">
        <v>23</v>
      </c>
      <c r="H325" s="79">
        <v>185.44</v>
      </c>
      <c r="I325" s="79">
        <v>183.94</v>
      </c>
      <c r="J325" s="79">
        <v>1.5</v>
      </c>
      <c r="K325" s="79" t="s">
        <v>22</v>
      </c>
      <c r="L325" s="79" t="s">
        <v>19</v>
      </c>
      <c r="M325" s="79" t="s">
        <v>19</v>
      </c>
      <c r="N325" s="79" t="s">
        <v>20</v>
      </c>
      <c r="O325" s="79"/>
      <c r="P325" s="79">
        <v>2679</v>
      </c>
      <c r="Q325" s="79" t="s">
        <v>21</v>
      </c>
      <c r="R325" s="79" t="s">
        <v>61</v>
      </c>
      <c r="S325" s="79">
        <v>123456789</v>
      </c>
    </row>
    <row r="326" spans="1:19" x14ac:dyDescent="0.25">
      <c r="A326" s="79">
        <v>12345678</v>
      </c>
      <c r="B326" s="79" t="s">
        <v>717</v>
      </c>
      <c r="C326" s="82" t="s">
        <v>718</v>
      </c>
      <c r="D326" s="79">
        <v>123456</v>
      </c>
      <c r="E326" s="81">
        <v>12334567000189</v>
      </c>
      <c r="F326" s="79" t="s">
        <v>60</v>
      </c>
      <c r="G326" s="79" t="s">
        <v>23</v>
      </c>
      <c r="H326" s="79">
        <v>92.1</v>
      </c>
      <c r="I326" s="79">
        <v>89.3</v>
      </c>
      <c r="J326" s="79">
        <v>2.8</v>
      </c>
      <c r="K326" s="79" t="s">
        <v>28</v>
      </c>
      <c r="L326" s="79" t="s">
        <v>19</v>
      </c>
      <c r="M326" s="79" t="s">
        <v>69</v>
      </c>
      <c r="N326" s="79" t="s">
        <v>20</v>
      </c>
      <c r="O326" s="79"/>
      <c r="P326" s="79">
        <v>1383</v>
      </c>
      <c r="Q326" s="79" t="s">
        <v>62</v>
      </c>
      <c r="R326" s="79" t="s">
        <v>61</v>
      </c>
      <c r="S326" s="79">
        <v>123456789</v>
      </c>
    </row>
    <row r="327" spans="1:19" x14ac:dyDescent="0.25">
      <c r="A327" s="79">
        <v>12345678</v>
      </c>
      <c r="B327" s="79" t="s">
        <v>719</v>
      </c>
      <c r="C327" s="82" t="s">
        <v>720</v>
      </c>
      <c r="D327" s="79">
        <v>123456</v>
      </c>
      <c r="E327" s="81">
        <v>12334567000189</v>
      </c>
      <c r="F327" s="79" t="s">
        <v>60</v>
      </c>
      <c r="G327" s="79" t="s">
        <v>23</v>
      </c>
      <c r="H327" s="79">
        <v>291.08999999999997</v>
      </c>
      <c r="I327" s="79">
        <v>279.83999999999997</v>
      </c>
      <c r="J327" s="79">
        <v>11.25</v>
      </c>
      <c r="K327" s="79" t="s">
        <v>28</v>
      </c>
      <c r="L327" s="79" t="s">
        <v>19</v>
      </c>
      <c r="M327" s="79" t="s">
        <v>24</v>
      </c>
      <c r="N327" s="79" t="s">
        <v>20</v>
      </c>
      <c r="O327" s="79"/>
      <c r="P327" s="79">
        <v>3773</v>
      </c>
      <c r="Q327" s="79" t="s">
        <v>21</v>
      </c>
      <c r="R327" s="79" t="s">
        <v>61</v>
      </c>
      <c r="S327" s="79">
        <v>123456789</v>
      </c>
    </row>
    <row r="328" spans="1:19" x14ac:dyDescent="0.25">
      <c r="A328" s="79">
        <v>12345678</v>
      </c>
      <c r="B328" s="79" t="s">
        <v>721</v>
      </c>
      <c r="C328" s="82" t="s">
        <v>722</v>
      </c>
      <c r="D328" s="79">
        <v>123456</v>
      </c>
      <c r="E328" s="81">
        <v>12334567000189</v>
      </c>
      <c r="F328" s="79" t="s">
        <v>60</v>
      </c>
      <c r="G328" s="79" t="s">
        <v>23</v>
      </c>
      <c r="H328" s="79">
        <v>34.33</v>
      </c>
      <c r="I328" s="79">
        <v>33.090000000000003</v>
      </c>
      <c r="J328" s="79">
        <v>1.24</v>
      </c>
      <c r="K328" s="79" t="s">
        <v>28</v>
      </c>
      <c r="L328" s="79" t="s">
        <v>19</v>
      </c>
      <c r="M328" s="79" t="s">
        <v>24</v>
      </c>
      <c r="N328" s="79" t="s">
        <v>20</v>
      </c>
      <c r="O328" s="79"/>
      <c r="P328" s="79">
        <v>7974</v>
      </c>
      <c r="Q328" s="79" t="s">
        <v>21</v>
      </c>
      <c r="R328" s="79" t="s">
        <v>61</v>
      </c>
      <c r="S328" s="79">
        <v>123456789</v>
      </c>
    </row>
    <row r="329" spans="1:19" x14ac:dyDescent="0.25">
      <c r="A329" s="79">
        <v>12345678</v>
      </c>
      <c r="B329" s="79" t="s">
        <v>723</v>
      </c>
      <c r="C329" s="82" t="s">
        <v>724</v>
      </c>
      <c r="D329" s="79">
        <v>123456</v>
      </c>
      <c r="E329" s="81">
        <v>12334567000189</v>
      </c>
      <c r="F329" s="79" t="s">
        <v>60</v>
      </c>
      <c r="G329" s="79" t="s">
        <v>23</v>
      </c>
      <c r="H329" s="79">
        <v>57.01</v>
      </c>
      <c r="I329" s="79">
        <v>55.89</v>
      </c>
      <c r="J329" s="79">
        <v>1.1200000000000001</v>
      </c>
      <c r="K329" s="79" t="s">
        <v>25</v>
      </c>
      <c r="L329" s="79" t="s">
        <v>19</v>
      </c>
      <c r="M329" s="79" t="s">
        <v>27</v>
      </c>
      <c r="N329" s="79" t="s">
        <v>20</v>
      </c>
      <c r="O329" s="79"/>
      <c r="P329" s="79">
        <v>7082</v>
      </c>
      <c r="Q329" s="79" t="s">
        <v>21</v>
      </c>
      <c r="R329" s="79" t="s">
        <v>61</v>
      </c>
      <c r="S329" s="79">
        <v>123456789</v>
      </c>
    </row>
    <row r="330" spans="1:19" x14ac:dyDescent="0.25">
      <c r="A330" s="79">
        <v>12345678</v>
      </c>
      <c r="B330" s="79" t="s">
        <v>725</v>
      </c>
      <c r="C330" s="82" t="s">
        <v>726</v>
      </c>
      <c r="D330" s="79">
        <v>123456</v>
      </c>
      <c r="E330" s="81">
        <v>12334567000189</v>
      </c>
      <c r="F330" s="79" t="s">
        <v>60</v>
      </c>
      <c r="G330" s="79" t="s">
        <v>23</v>
      </c>
      <c r="H330" s="79">
        <v>281.5</v>
      </c>
      <c r="I330" s="79">
        <v>269.14</v>
      </c>
      <c r="J330" s="79">
        <v>12.36</v>
      </c>
      <c r="K330" s="79" t="s">
        <v>28</v>
      </c>
      <c r="L330" s="79" t="s">
        <v>19</v>
      </c>
      <c r="M330" s="79" t="s">
        <v>69</v>
      </c>
      <c r="N330" s="79" t="s">
        <v>20</v>
      </c>
      <c r="O330" s="79"/>
      <c r="P330" s="79">
        <v>7982</v>
      </c>
      <c r="Q330" s="79" t="s">
        <v>72</v>
      </c>
      <c r="R330" s="79" t="s">
        <v>61</v>
      </c>
      <c r="S330" s="79">
        <v>123456789</v>
      </c>
    </row>
    <row r="331" spans="1:19" x14ac:dyDescent="0.25">
      <c r="A331" s="79">
        <v>12345678</v>
      </c>
      <c r="B331" s="79" t="s">
        <v>727</v>
      </c>
      <c r="C331" s="82" t="s">
        <v>728</v>
      </c>
      <c r="D331" s="79">
        <v>123456</v>
      </c>
      <c r="E331" s="81">
        <v>12334567000189</v>
      </c>
      <c r="F331" s="79" t="s">
        <v>60</v>
      </c>
      <c r="G331" s="79" t="s">
        <v>23</v>
      </c>
      <c r="H331" s="79">
        <v>126.95</v>
      </c>
      <c r="I331" s="79">
        <v>125.01</v>
      </c>
      <c r="J331" s="79">
        <v>1.94</v>
      </c>
      <c r="K331" s="79" t="s">
        <v>25</v>
      </c>
      <c r="L331" s="79" t="s">
        <v>19</v>
      </c>
      <c r="M331" s="79" t="s">
        <v>89</v>
      </c>
      <c r="N331" s="79" t="s">
        <v>20</v>
      </c>
      <c r="O331" s="79"/>
      <c r="P331" s="79">
        <v>3348</v>
      </c>
      <c r="Q331" s="79" t="s">
        <v>21</v>
      </c>
      <c r="R331" s="79" t="s">
        <v>61</v>
      </c>
      <c r="S331" s="79">
        <v>123456789</v>
      </c>
    </row>
    <row r="332" spans="1:19" x14ac:dyDescent="0.25">
      <c r="A332" s="79">
        <v>12345678</v>
      </c>
      <c r="B332" s="79" t="s">
        <v>729</v>
      </c>
      <c r="C332" s="82" t="s">
        <v>730</v>
      </c>
      <c r="D332" s="79">
        <v>123456</v>
      </c>
      <c r="E332" s="81">
        <v>12334567000189</v>
      </c>
      <c r="F332" s="79" t="s">
        <v>60</v>
      </c>
      <c r="G332" s="79" t="s">
        <v>23</v>
      </c>
      <c r="H332" s="79">
        <v>269.83</v>
      </c>
      <c r="I332" s="79">
        <v>261.52</v>
      </c>
      <c r="J332" s="79">
        <v>8.31</v>
      </c>
      <c r="K332" s="79" t="s">
        <v>28</v>
      </c>
      <c r="L332" s="79" t="s">
        <v>19</v>
      </c>
      <c r="M332" s="79" t="s">
        <v>89</v>
      </c>
      <c r="N332" s="79" t="s">
        <v>20</v>
      </c>
      <c r="O332" s="79"/>
      <c r="P332" s="79">
        <v>6704</v>
      </c>
      <c r="Q332" s="79" t="s">
        <v>62</v>
      </c>
      <c r="R332" s="79" t="s">
        <v>61</v>
      </c>
      <c r="S332" s="79">
        <v>123456789</v>
      </c>
    </row>
    <row r="333" spans="1:19" x14ac:dyDescent="0.25">
      <c r="A333" s="79">
        <v>12345678</v>
      </c>
      <c r="B333" s="79" t="s">
        <v>731</v>
      </c>
      <c r="C333" s="82" t="s">
        <v>732</v>
      </c>
      <c r="D333" s="79">
        <v>123456</v>
      </c>
      <c r="E333" s="81">
        <v>12334567000189</v>
      </c>
      <c r="F333" s="79" t="s">
        <v>60</v>
      </c>
      <c r="G333" s="79" t="s">
        <v>23</v>
      </c>
      <c r="H333" s="79">
        <v>762.45</v>
      </c>
      <c r="I333" s="79">
        <v>735.62</v>
      </c>
      <c r="J333" s="79">
        <v>26.83</v>
      </c>
      <c r="K333" s="79" t="s">
        <v>28</v>
      </c>
      <c r="L333" s="79" t="s">
        <v>19</v>
      </c>
      <c r="M333" s="79" t="s">
        <v>24</v>
      </c>
      <c r="N333" s="79" t="s">
        <v>20</v>
      </c>
      <c r="O333" s="79"/>
      <c r="P333" s="79">
        <v>1498</v>
      </c>
      <c r="Q333" s="79" t="s">
        <v>21</v>
      </c>
      <c r="R333" s="79" t="s">
        <v>61</v>
      </c>
      <c r="S333" s="79">
        <v>123456789</v>
      </c>
    </row>
    <row r="334" spans="1:19" x14ac:dyDescent="0.25">
      <c r="A334" s="79">
        <v>12345678</v>
      </c>
      <c r="B334" s="79" t="s">
        <v>733</v>
      </c>
      <c r="C334" s="82" t="s">
        <v>734</v>
      </c>
      <c r="D334" s="79">
        <v>123456</v>
      </c>
      <c r="E334" s="81">
        <v>12334567000189</v>
      </c>
      <c r="F334" s="79" t="s">
        <v>60</v>
      </c>
      <c r="G334" s="79" t="s">
        <v>23</v>
      </c>
      <c r="H334" s="79">
        <v>1279.3399999999999</v>
      </c>
      <c r="I334" s="79">
        <v>1257.06</v>
      </c>
      <c r="J334" s="79">
        <v>22.28</v>
      </c>
      <c r="K334" s="79" t="s">
        <v>25</v>
      </c>
      <c r="L334" s="79" t="s">
        <v>19</v>
      </c>
      <c r="M334" s="79" t="s">
        <v>24</v>
      </c>
      <c r="N334" s="79" t="s">
        <v>20</v>
      </c>
      <c r="O334" s="79"/>
      <c r="P334" s="79">
        <v>3772</v>
      </c>
      <c r="Q334" s="79" t="s">
        <v>21</v>
      </c>
      <c r="R334" s="79" t="s">
        <v>61</v>
      </c>
      <c r="S334" s="79">
        <v>123456789</v>
      </c>
    </row>
    <row r="335" spans="1:19" x14ac:dyDescent="0.25">
      <c r="A335" s="79">
        <v>12345678</v>
      </c>
      <c r="B335" s="79" t="s">
        <v>735</v>
      </c>
      <c r="C335" s="82" t="s">
        <v>736</v>
      </c>
      <c r="D335" s="79">
        <v>123456</v>
      </c>
      <c r="E335" s="81">
        <v>12334567000189</v>
      </c>
      <c r="F335" s="79" t="s">
        <v>60</v>
      </c>
      <c r="G335" s="79" t="s">
        <v>23</v>
      </c>
      <c r="H335" s="79">
        <v>609.79999999999995</v>
      </c>
      <c r="I335" s="79">
        <v>602.63</v>
      </c>
      <c r="J335" s="79">
        <v>7.17</v>
      </c>
      <c r="K335" s="79" t="s">
        <v>22</v>
      </c>
      <c r="L335" s="79" t="s">
        <v>19</v>
      </c>
      <c r="M335" s="79" t="s">
        <v>19</v>
      </c>
      <c r="N335" s="79" t="s">
        <v>20</v>
      </c>
      <c r="O335" s="79"/>
      <c r="P335" s="79">
        <v>2483</v>
      </c>
      <c r="Q335" s="79" t="s">
        <v>21</v>
      </c>
      <c r="R335" s="79" t="s">
        <v>61</v>
      </c>
      <c r="S335" s="79">
        <v>123456789</v>
      </c>
    </row>
    <row r="336" spans="1:19" x14ac:dyDescent="0.25">
      <c r="A336" s="79">
        <v>12345678</v>
      </c>
      <c r="B336" s="79" t="s">
        <v>737</v>
      </c>
      <c r="C336" s="82" t="s">
        <v>738</v>
      </c>
      <c r="D336" s="79">
        <v>123456</v>
      </c>
      <c r="E336" s="81">
        <v>12334567000189</v>
      </c>
      <c r="F336" s="79" t="s">
        <v>60</v>
      </c>
      <c r="G336" s="79" t="s">
        <v>23</v>
      </c>
      <c r="H336" s="79">
        <v>191.72</v>
      </c>
      <c r="I336" s="79">
        <v>185.91</v>
      </c>
      <c r="J336" s="79">
        <v>5.81</v>
      </c>
      <c r="K336" s="79" t="s">
        <v>28</v>
      </c>
      <c r="L336" s="79" t="s">
        <v>19</v>
      </c>
      <c r="M336" s="79" t="s">
        <v>27</v>
      </c>
      <c r="N336" s="79" t="s">
        <v>20</v>
      </c>
      <c r="O336" s="79"/>
      <c r="P336" s="79">
        <v>6957</v>
      </c>
      <c r="Q336" s="79" t="s">
        <v>62</v>
      </c>
      <c r="R336" s="79" t="s">
        <v>61</v>
      </c>
      <c r="S336" s="79">
        <v>123456789</v>
      </c>
    </row>
    <row r="337" spans="1:19" x14ac:dyDescent="0.25">
      <c r="A337" s="79">
        <v>12345678</v>
      </c>
      <c r="B337" s="79" t="s">
        <v>739</v>
      </c>
      <c r="C337" s="82" t="s">
        <v>740</v>
      </c>
      <c r="D337" s="79">
        <v>123456</v>
      </c>
      <c r="E337" s="81">
        <v>12334567000189</v>
      </c>
      <c r="F337" s="79" t="s">
        <v>60</v>
      </c>
      <c r="G337" s="79" t="s">
        <v>23</v>
      </c>
      <c r="H337" s="79">
        <v>193</v>
      </c>
      <c r="I337" s="79">
        <v>184.8</v>
      </c>
      <c r="J337" s="79">
        <v>8.1999999999999993</v>
      </c>
      <c r="K337" s="79" t="s">
        <v>28</v>
      </c>
      <c r="L337" s="79" t="s">
        <v>19</v>
      </c>
      <c r="M337" s="79" t="s">
        <v>29</v>
      </c>
      <c r="N337" s="79" t="s">
        <v>20</v>
      </c>
      <c r="O337" s="79"/>
      <c r="P337" s="79">
        <v>1554</v>
      </c>
      <c r="Q337" s="79" t="s">
        <v>102</v>
      </c>
      <c r="R337" s="79" t="s">
        <v>61</v>
      </c>
      <c r="S337" s="79">
        <v>123456789</v>
      </c>
    </row>
    <row r="338" spans="1:19" x14ac:dyDescent="0.25">
      <c r="A338" s="79">
        <v>12345678</v>
      </c>
      <c r="B338" s="79" t="s">
        <v>741</v>
      </c>
      <c r="C338" s="82" t="s">
        <v>742</v>
      </c>
      <c r="D338" s="79">
        <v>123456</v>
      </c>
      <c r="E338" s="81">
        <v>12334567000189</v>
      </c>
      <c r="F338" s="79" t="s">
        <v>60</v>
      </c>
      <c r="G338" s="79" t="s">
        <v>23</v>
      </c>
      <c r="H338" s="79">
        <v>271.3</v>
      </c>
      <c r="I338" s="79">
        <v>262.51</v>
      </c>
      <c r="J338" s="79">
        <v>8.7899999999999991</v>
      </c>
      <c r="K338" s="79" t="s">
        <v>28</v>
      </c>
      <c r="L338" s="79" t="s">
        <v>19</v>
      </c>
      <c r="M338" s="79" t="s">
        <v>24</v>
      </c>
      <c r="N338" s="79" t="s">
        <v>20</v>
      </c>
      <c r="O338" s="79"/>
      <c r="P338" s="79">
        <v>5413</v>
      </c>
      <c r="Q338" s="79" t="s">
        <v>21</v>
      </c>
      <c r="R338" s="79" t="s">
        <v>61</v>
      </c>
      <c r="S338" s="79">
        <v>123456789</v>
      </c>
    </row>
    <row r="339" spans="1:19" x14ac:dyDescent="0.25">
      <c r="A339" s="79">
        <v>12345678</v>
      </c>
      <c r="B339" s="79" t="s">
        <v>743</v>
      </c>
      <c r="C339" s="82" t="s">
        <v>744</v>
      </c>
      <c r="D339" s="79">
        <v>123456</v>
      </c>
      <c r="E339" s="81">
        <v>12334567000189</v>
      </c>
      <c r="F339" s="79" t="s">
        <v>60</v>
      </c>
      <c r="G339" s="79" t="s">
        <v>23</v>
      </c>
      <c r="H339" s="79">
        <v>158.54</v>
      </c>
      <c r="I339" s="79">
        <v>156.69</v>
      </c>
      <c r="J339" s="79">
        <v>1.85</v>
      </c>
      <c r="K339" s="79" t="s">
        <v>22</v>
      </c>
      <c r="L339" s="79" t="s">
        <v>19</v>
      </c>
      <c r="M339" s="79" t="s">
        <v>19</v>
      </c>
      <c r="N339" s="79" t="s">
        <v>20</v>
      </c>
      <c r="O339" s="79"/>
      <c r="P339" s="79">
        <v>7131</v>
      </c>
      <c r="Q339" s="79" t="s">
        <v>21</v>
      </c>
      <c r="R339" s="79" t="s">
        <v>61</v>
      </c>
      <c r="S339" s="79">
        <v>123456789</v>
      </c>
    </row>
    <row r="340" spans="1:19" x14ac:dyDescent="0.25">
      <c r="A340" s="79">
        <v>12345678</v>
      </c>
      <c r="B340" s="79" t="s">
        <v>745</v>
      </c>
      <c r="C340" s="82" t="s">
        <v>746</v>
      </c>
      <c r="D340" s="79">
        <v>123456</v>
      </c>
      <c r="E340" s="81">
        <v>12334567000189</v>
      </c>
      <c r="F340" s="79" t="s">
        <v>60</v>
      </c>
      <c r="G340" s="79" t="s">
        <v>23</v>
      </c>
      <c r="H340" s="79">
        <v>169.45</v>
      </c>
      <c r="I340" s="79">
        <v>163.36000000000001</v>
      </c>
      <c r="J340" s="79">
        <v>6.09</v>
      </c>
      <c r="K340" s="79" t="s">
        <v>28</v>
      </c>
      <c r="L340" s="79" t="s">
        <v>19</v>
      </c>
      <c r="M340" s="79" t="s">
        <v>27</v>
      </c>
      <c r="N340" s="79" t="s">
        <v>20</v>
      </c>
      <c r="O340" s="79"/>
      <c r="P340" s="79">
        <v>7523</v>
      </c>
      <c r="Q340" s="79" t="s">
        <v>102</v>
      </c>
      <c r="R340" s="79" t="s">
        <v>61</v>
      </c>
      <c r="S340" s="79">
        <v>123456789</v>
      </c>
    </row>
    <row r="341" spans="1:19" x14ac:dyDescent="0.25">
      <c r="A341" s="79">
        <v>12345678</v>
      </c>
      <c r="B341" s="79" t="s">
        <v>747</v>
      </c>
      <c r="C341" s="82" t="s">
        <v>748</v>
      </c>
      <c r="D341" s="79">
        <v>123456</v>
      </c>
      <c r="E341" s="81">
        <v>12334567000189</v>
      </c>
      <c r="F341" s="79" t="s">
        <v>60</v>
      </c>
      <c r="G341" s="79" t="s">
        <v>23</v>
      </c>
      <c r="H341" s="79">
        <v>64.510000000000005</v>
      </c>
      <c r="I341" s="79">
        <v>63.94</v>
      </c>
      <c r="J341" s="79">
        <v>0.56999999999999995</v>
      </c>
      <c r="K341" s="79" t="s">
        <v>22</v>
      </c>
      <c r="L341" s="79" t="s">
        <v>19</v>
      </c>
      <c r="M341" s="79" t="s">
        <v>19</v>
      </c>
      <c r="N341" s="79" t="s">
        <v>20</v>
      </c>
      <c r="O341" s="79"/>
      <c r="P341" s="79">
        <v>8964</v>
      </c>
      <c r="Q341" s="79" t="s">
        <v>21</v>
      </c>
      <c r="R341" s="79" t="s">
        <v>61</v>
      </c>
      <c r="S341" s="79">
        <v>123456789</v>
      </c>
    </row>
    <row r="342" spans="1:19" x14ac:dyDescent="0.25">
      <c r="A342" s="79">
        <v>12345678</v>
      </c>
      <c r="B342" s="79" t="s">
        <v>749</v>
      </c>
      <c r="C342" s="82" t="s">
        <v>750</v>
      </c>
      <c r="D342" s="79">
        <v>123456</v>
      </c>
      <c r="E342" s="81">
        <v>12334567000189</v>
      </c>
      <c r="F342" s="79" t="s">
        <v>60</v>
      </c>
      <c r="G342" s="79" t="s">
        <v>23</v>
      </c>
      <c r="H342" s="79">
        <v>25.81</v>
      </c>
      <c r="I342" s="79">
        <v>25.38</v>
      </c>
      <c r="J342" s="79">
        <v>0.43</v>
      </c>
      <c r="K342" s="79" t="s">
        <v>25</v>
      </c>
      <c r="L342" s="79" t="s">
        <v>19</v>
      </c>
      <c r="M342" s="79" t="s">
        <v>69</v>
      </c>
      <c r="N342" s="79" t="s">
        <v>20</v>
      </c>
      <c r="O342" s="79"/>
      <c r="P342" s="79">
        <v>2991</v>
      </c>
      <c r="Q342" s="79" t="s">
        <v>21</v>
      </c>
      <c r="R342" s="79" t="s">
        <v>61</v>
      </c>
      <c r="S342" s="79">
        <v>123456789</v>
      </c>
    </row>
    <row r="343" spans="1:19" x14ac:dyDescent="0.25">
      <c r="A343" s="79">
        <v>12345678</v>
      </c>
      <c r="B343" s="79" t="s">
        <v>751</v>
      </c>
      <c r="C343" s="82" t="s">
        <v>752</v>
      </c>
      <c r="D343" s="79">
        <v>123456</v>
      </c>
      <c r="E343" s="81">
        <v>12334567000189</v>
      </c>
      <c r="F343" s="79" t="s">
        <v>60</v>
      </c>
      <c r="G343" s="79" t="s">
        <v>23</v>
      </c>
      <c r="H343" s="79">
        <v>183.81</v>
      </c>
      <c r="I343" s="79">
        <v>180.81</v>
      </c>
      <c r="J343" s="79">
        <v>3</v>
      </c>
      <c r="K343" s="79" t="s">
        <v>25</v>
      </c>
      <c r="L343" s="79" t="s">
        <v>19</v>
      </c>
      <c r="M343" s="79" t="s">
        <v>24</v>
      </c>
      <c r="N343" s="79" t="s">
        <v>20</v>
      </c>
      <c r="O343" s="79"/>
      <c r="P343" s="79">
        <v>9577</v>
      </c>
      <c r="Q343" s="79" t="s">
        <v>21</v>
      </c>
      <c r="R343" s="79" t="s">
        <v>61</v>
      </c>
      <c r="S343" s="79">
        <v>123456789</v>
      </c>
    </row>
    <row r="344" spans="1:19" x14ac:dyDescent="0.25">
      <c r="A344" s="79">
        <v>12345678</v>
      </c>
      <c r="B344" s="79" t="s">
        <v>753</v>
      </c>
      <c r="C344" s="82" t="s">
        <v>754</v>
      </c>
      <c r="D344" s="79">
        <v>123456</v>
      </c>
      <c r="E344" s="81">
        <v>12334567000189</v>
      </c>
      <c r="F344" s="79" t="s">
        <v>60</v>
      </c>
      <c r="G344" s="79" t="s">
        <v>23</v>
      </c>
      <c r="H344" s="79">
        <v>21.1</v>
      </c>
      <c r="I344" s="79">
        <v>20.71</v>
      </c>
      <c r="J344" s="79">
        <v>0.39</v>
      </c>
      <c r="K344" s="79" t="s">
        <v>25</v>
      </c>
      <c r="L344" s="79" t="s">
        <v>19</v>
      </c>
      <c r="M344" s="79" t="s">
        <v>69</v>
      </c>
      <c r="N344" s="79" t="s">
        <v>20</v>
      </c>
      <c r="O344" s="79"/>
      <c r="P344" s="79">
        <v>8748</v>
      </c>
      <c r="Q344" s="79" t="s">
        <v>21</v>
      </c>
      <c r="R344" s="79" t="s">
        <v>61</v>
      </c>
      <c r="S344" s="79">
        <v>123456789</v>
      </c>
    </row>
    <row r="345" spans="1:19" x14ac:dyDescent="0.25">
      <c r="A345" s="79">
        <v>12345678</v>
      </c>
      <c r="B345" s="79" t="s">
        <v>755</v>
      </c>
      <c r="C345" s="82" t="s">
        <v>756</v>
      </c>
      <c r="D345" s="79">
        <v>123456</v>
      </c>
      <c r="E345" s="81">
        <v>12334567000189</v>
      </c>
      <c r="F345" s="79" t="s">
        <v>60</v>
      </c>
      <c r="G345" s="79" t="s">
        <v>23</v>
      </c>
      <c r="H345" s="79">
        <v>209.77</v>
      </c>
      <c r="I345" s="79">
        <v>202.89</v>
      </c>
      <c r="J345" s="79">
        <v>6.88</v>
      </c>
      <c r="K345" s="79" t="s">
        <v>28</v>
      </c>
      <c r="L345" s="79" t="s">
        <v>19</v>
      </c>
      <c r="M345" s="79" t="s">
        <v>89</v>
      </c>
      <c r="N345" s="79" t="s">
        <v>20</v>
      </c>
      <c r="O345" s="79"/>
      <c r="P345" s="79">
        <v>1205</v>
      </c>
      <c r="Q345" s="79" t="s">
        <v>21</v>
      </c>
      <c r="R345" s="79" t="s">
        <v>61</v>
      </c>
      <c r="S345" s="79">
        <v>123456789</v>
      </c>
    </row>
    <row r="346" spans="1:19" x14ac:dyDescent="0.25">
      <c r="A346" s="79">
        <v>12345678</v>
      </c>
      <c r="B346" s="79" t="s">
        <v>757</v>
      </c>
      <c r="C346" s="82" t="s">
        <v>758</v>
      </c>
      <c r="D346" s="79">
        <v>123456</v>
      </c>
      <c r="E346" s="81">
        <v>12334567000189</v>
      </c>
      <c r="F346" s="79" t="s">
        <v>60</v>
      </c>
      <c r="G346" s="79" t="s">
        <v>23</v>
      </c>
      <c r="H346" s="79">
        <v>391.07</v>
      </c>
      <c r="I346" s="79">
        <v>374.33</v>
      </c>
      <c r="J346" s="79">
        <v>16.739999999999998</v>
      </c>
      <c r="K346" s="79" t="s">
        <v>28</v>
      </c>
      <c r="L346" s="79" t="s">
        <v>19</v>
      </c>
      <c r="M346" s="79" t="s">
        <v>24</v>
      </c>
      <c r="N346" s="79" t="s">
        <v>20</v>
      </c>
      <c r="O346" s="79"/>
      <c r="P346" s="79">
        <v>9040</v>
      </c>
      <c r="Q346" s="79" t="s">
        <v>21</v>
      </c>
      <c r="R346" s="79" t="s">
        <v>61</v>
      </c>
      <c r="S346" s="79">
        <v>123456789</v>
      </c>
    </row>
    <row r="347" spans="1:19" x14ac:dyDescent="0.25">
      <c r="A347" s="79">
        <v>12345678</v>
      </c>
      <c r="B347" s="79" t="s">
        <v>759</v>
      </c>
      <c r="C347" s="82" t="s">
        <v>760</v>
      </c>
      <c r="D347" s="79">
        <v>123456</v>
      </c>
      <c r="E347" s="81">
        <v>12334567000189</v>
      </c>
      <c r="F347" s="79" t="s">
        <v>60</v>
      </c>
      <c r="G347" s="79" t="s">
        <v>23</v>
      </c>
      <c r="H347" s="79">
        <v>119.74</v>
      </c>
      <c r="I347" s="79">
        <v>118.33</v>
      </c>
      <c r="J347" s="79">
        <v>1.41</v>
      </c>
      <c r="K347" s="79" t="s">
        <v>22</v>
      </c>
      <c r="L347" s="79" t="s">
        <v>19</v>
      </c>
      <c r="M347" s="79" t="s">
        <v>19</v>
      </c>
      <c r="N347" s="79" t="s">
        <v>20</v>
      </c>
      <c r="O347" s="79"/>
      <c r="P347" s="79">
        <v>8600</v>
      </c>
      <c r="Q347" s="79" t="s">
        <v>21</v>
      </c>
      <c r="R347" s="79" t="s">
        <v>61</v>
      </c>
      <c r="S347" s="79">
        <v>123456789</v>
      </c>
    </row>
    <row r="348" spans="1:19" x14ac:dyDescent="0.25">
      <c r="A348" s="79">
        <v>12345678</v>
      </c>
      <c r="B348" s="79" t="s">
        <v>761</v>
      </c>
      <c r="C348" s="82" t="s">
        <v>762</v>
      </c>
      <c r="D348" s="79">
        <v>123456</v>
      </c>
      <c r="E348" s="81">
        <v>12334567000189</v>
      </c>
      <c r="F348" s="79" t="s">
        <v>60</v>
      </c>
      <c r="G348" s="79" t="s">
        <v>23</v>
      </c>
      <c r="H348" s="79">
        <v>263.27</v>
      </c>
      <c r="I348" s="79">
        <v>253.79</v>
      </c>
      <c r="J348" s="79">
        <v>9.48</v>
      </c>
      <c r="K348" s="79" t="s">
        <v>28</v>
      </c>
      <c r="L348" s="79" t="s">
        <v>19</v>
      </c>
      <c r="M348" s="79" t="s">
        <v>29</v>
      </c>
      <c r="N348" s="79" t="s">
        <v>20</v>
      </c>
      <c r="O348" s="79"/>
      <c r="P348" s="79">
        <v>7378</v>
      </c>
      <c r="Q348" s="79" t="s">
        <v>21</v>
      </c>
      <c r="R348" s="79" t="s">
        <v>61</v>
      </c>
      <c r="S348" s="79">
        <v>123456789</v>
      </c>
    </row>
    <row r="349" spans="1:19" x14ac:dyDescent="0.25">
      <c r="A349" s="79">
        <v>12345678</v>
      </c>
      <c r="B349" s="79" t="s">
        <v>763</v>
      </c>
      <c r="C349" s="82" t="s">
        <v>764</v>
      </c>
      <c r="D349" s="79">
        <v>123456</v>
      </c>
      <c r="E349" s="81">
        <v>12334567000189</v>
      </c>
      <c r="F349" s="79" t="s">
        <v>60</v>
      </c>
      <c r="G349" s="79" t="s">
        <v>23</v>
      </c>
      <c r="H349" s="79">
        <v>396.83</v>
      </c>
      <c r="I349" s="79">
        <v>390.35</v>
      </c>
      <c r="J349" s="79">
        <v>6.48</v>
      </c>
      <c r="K349" s="79" t="s">
        <v>25</v>
      </c>
      <c r="L349" s="79" t="s">
        <v>19</v>
      </c>
      <c r="M349" s="79" t="s">
        <v>27</v>
      </c>
      <c r="N349" s="79" t="s">
        <v>20</v>
      </c>
      <c r="O349" s="79"/>
      <c r="P349" s="79">
        <v>9515</v>
      </c>
      <c r="Q349" s="79" t="s">
        <v>21</v>
      </c>
      <c r="R349" s="79" t="s">
        <v>61</v>
      </c>
      <c r="S349" s="79">
        <v>123456789</v>
      </c>
    </row>
    <row r="350" spans="1:19" x14ac:dyDescent="0.25">
      <c r="A350" s="79">
        <v>12345678</v>
      </c>
      <c r="B350" s="79" t="s">
        <v>765</v>
      </c>
      <c r="C350" s="82" t="s">
        <v>766</v>
      </c>
      <c r="D350" s="79">
        <v>123456</v>
      </c>
      <c r="E350" s="81">
        <v>12334567000189</v>
      </c>
      <c r="F350" s="79" t="s">
        <v>60</v>
      </c>
      <c r="G350" s="79" t="s">
        <v>23</v>
      </c>
      <c r="H350" s="79">
        <v>130.96</v>
      </c>
      <c r="I350" s="79">
        <v>129.78</v>
      </c>
      <c r="J350" s="79">
        <v>1.18</v>
      </c>
      <c r="K350" s="79" t="s">
        <v>22</v>
      </c>
      <c r="L350" s="79" t="s">
        <v>19</v>
      </c>
      <c r="M350" s="79" t="s">
        <v>19</v>
      </c>
      <c r="N350" s="79" t="s">
        <v>20</v>
      </c>
      <c r="O350" s="79"/>
      <c r="P350" s="79">
        <v>7764</v>
      </c>
      <c r="Q350" s="79" t="s">
        <v>21</v>
      </c>
      <c r="R350" s="79" t="s">
        <v>61</v>
      </c>
      <c r="S350" s="79">
        <v>123456789</v>
      </c>
    </row>
    <row r="351" spans="1:19" x14ac:dyDescent="0.25">
      <c r="A351" s="79">
        <v>12345678</v>
      </c>
      <c r="B351" s="79" t="s">
        <v>767</v>
      </c>
      <c r="C351" s="82" t="s">
        <v>768</v>
      </c>
      <c r="D351" s="79">
        <v>123456</v>
      </c>
      <c r="E351" s="81">
        <v>12334567000189</v>
      </c>
      <c r="F351" s="79" t="s">
        <v>60</v>
      </c>
      <c r="G351" s="79" t="s">
        <v>23</v>
      </c>
      <c r="H351" s="79">
        <v>149.94999999999999</v>
      </c>
      <c r="I351" s="79">
        <v>147.63999999999999</v>
      </c>
      <c r="J351" s="79">
        <v>2.31</v>
      </c>
      <c r="K351" s="79" t="s">
        <v>25</v>
      </c>
      <c r="L351" s="79" t="s">
        <v>19</v>
      </c>
      <c r="M351" s="79" t="s">
        <v>26</v>
      </c>
      <c r="N351" s="79" t="s">
        <v>20</v>
      </c>
      <c r="O351" s="79"/>
      <c r="P351" s="79">
        <v>5831</v>
      </c>
      <c r="Q351" s="79" t="s">
        <v>21</v>
      </c>
      <c r="R351" s="79" t="s">
        <v>61</v>
      </c>
      <c r="S351" s="79">
        <v>123456789</v>
      </c>
    </row>
    <row r="352" spans="1:19" x14ac:dyDescent="0.25">
      <c r="A352" s="79">
        <v>12345678</v>
      </c>
      <c r="B352" s="79" t="s">
        <v>769</v>
      </c>
      <c r="C352" s="82" t="s">
        <v>770</v>
      </c>
      <c r="D352" s="79">
        <v>123456</v>
      </c>
      <c r="E352" s="81">
        <v>12334567000189</v>
      </c>
      <c r="F352" s="79" t="s">
        <v>60</v>
      </c>
      <c r="G352" s="79" t="s">
        <v>23</v>
      </c>
      <c r="H352" s="79">
        <v>186.16</v>
      </c>
      <c r="I352" s="79">
        <v>178.18</v>
      </c>
      <c r="J352" s="79">
        <v>7.98</v>
      </c>
      <c r="K352" s="79" t="s">
        <v>28</v>
      </c>
      <c r="L352" s="79" t="s">
        <v>19</v>
      </c>
      <c r="M352" s="79" t="s">
        <v>26</v>
      </c>
      <c r="N352" s="79" t="s">
        <v>20</v>
      </c>
      <c r="O352" s="79"/>
      <c r="P352" s="79">
        <v>6609</v>
      </c>
      <c r="Q352" s="79" t="s">
        <v>21</v>
      </c>
      <c r="R352" s="79" t="s">
        <v>61</v>
      </c>
      <c r="S352" s="79">
        <v>123456789</v>
      </c>
    </row>
    <row r="353" spans="1:19" x14ac:dyDescent="0.25">
      <c r="A353" s="79">
        <v>12345678</v>
      </c>
      <c r="B353" s="79" t="s">
        <v>771</v>
      </c>
      <c r="C353" s="82" t="s">
        <v>772</v>
      </c>
      <c r="D353" s="79">
        <v>123456</v>
      </c>
      <c r="E353" s="81">
        <v>12334567000189</v>
      </c>
      <c r="F353" s="79" t="s">
        <v>60</v>
      </c>
      <c r="G353" s="79" t="s">
        <v>23</v>
      </c>
      <c r="H353" s="79">
        <v>186.51</v>
      </c>
      <c r="I353" s="79">
        <v>178.88</v>
      </c>
      <c r="J353" s="79">
        <v>7.63</v>
      </c>
      <c r="K353" s="79" t="s">
        <v>28</v>
      </c>
      <c r="L353" s="79" t="s">
        <v>19</v>
      </c>
      <c r="M353" s="79" t="s">
        <v>29</v>
      </c>
      <c r="N353" s="79" t="s">
        <v>20</v>
      </c>
      <c r="O353" s="79"/>
      <c r="P353" s="79">
        <v>3993</v>
      </c>
      <c r="Q353" s="79" t="s">
        <v>21</v>
      </c>
      <c r="R353" s="79" t="s">
        <v>61</v>
      </c>
      <c r="S353" s="79">
        <v>123456789</v>
      </c>
    </row>
    <row r="354" spans="1:19" x14ac:dyDescent="0.25">
      <c r="A354" s="79">
        <v>12345678</v>
      </c>
      <c r="B354" s="79" t="s">
        <v>773</v>
      </c>
      <c r="C354" s="82" t="s">
        <v>774</v>
      </c>
      <c r="D354" s="79">
        <v>123456</v>
      </c>
      <c r="E354" s="81">
        <v>12334567000189</v>
      </c>
      <c r="F354" s="79" t="s">
        <v>60</v>
      </c>
      <c r="G354" s="79" t="s">
        <v>23</v>
      </c>
      <c r="H354" s="79">
        <v>209.99</v>
      </c>
      <c r="I354" s="79">
        <v>206.4</v>
      </c>
      <c r="J354" s="79">
        <v>3.59</v>
      </c>
      <c r="K354" s="79" t="s">
        <v>25</v>
      </c>
      <c r="L354" s="79" t="s">
        <v>19</v>
      </c>
      <c r="M354" s="79" t="s">
        <v>29</v>
      </c>
      <c r="N354" s="79" t="s">
        <v>20</v>
      </c>
      <c r="O354" s="79"/>
      <c r="P354" s="79">
        <v>5914</v>
      </c>
      <c r="Q354" s="79" t="s">
        <v>21</v>
      </c>
      <c r="R354" s="79" t="s">
        <v>61</v>
      </c>
      <c r="S354" s="79">
        <v>123456789</v>
      </c>
    </row>
    <row r="355" spans="1:19" x14ac:dyDescent="0.25">
      <c r="A355" s="79">
        <v>12345678</v>
      </c>
      <c r="B355" s="79" t="s">
        <v>775</v>
      </c>
      <c r="C355" s="82" t="s">
        <v>776</v>
      </c>
      <c r="D355" s="79">
        <v>123456</v>
      </c>
      <c r="E355" s="81">
        <v>12334567000189</v>
      </c>
      <c r="F355" s="79" t="s">
        <v>60</v>
      </c>
      <c r="G355" s="79" t="s">
        <v>23</v>
      </c>
      <c r="H355" s="79">
        <v>366.91</v>
      </c>
      <c r="I355" s="79">
        <v>359.21</v>
      </c>
      <c r="J355" s="79">
        <v>7.7</v>
      </c>
      <c r="K355" s="79" t="s">
        <v>25</v>
      </c>
      <c r="L355" s="79" t="s">
        <v>19</v>
      </c>
      <c r="M355" s="79" t="s">
        <v>69</v>
      </c>
      <c r="N355" s="79" t="s">
        <v>20</v>
      </c>
      <c r="O355" s="79"/>
      <c r="P355" s="79">
        <v>8708</v>
      </c>
      <c r="Q355" s="79" t="s">
        <v>21</v>
      </c>
      <c r="R355" s="79" t="s">
        <v>61</v>
      </c>
      <c r="S355" s="79">
        <v>123456789</v>
      </c>
    </row>
    <row r="356" spans="1:19" x14ac:dyDescent="0.25">
      <c r="A356" s="79">
        <v>12345678</v>
      </c>
      <c r="B356" s="79" t="s">
        <v>777</v>
      </c>
      <c r="C356" s="82" t="s">
        <v>778</v>
      </c>
      <c r="D356" s="79">
        <v>123456</v>
      </c>
      <c r="E356" s="81">
        <v>12334567000189</v>
      </c>
      <c r="F356" s="79" t="s">
        <v>60</v>
      </c>
      <c r="G356" s="79" t="s">
        <v>23</v>
      </c>
      <c r="H356" s="79">
        <v>205.16</v>
      </c>
      <c r="I356" s="79">
        <v>198.71</v>
      </c>
      <c r="J356" s="79">
        <v>6.45</v>
      </c>
      <c r="K356" s="79" t="s">
        <v>28</v>
      </c>
      <c r="L356" s="79" t="s">
        <v>19</v>
      </c>
      <c r="M356" s="79" t="s">
        <v>24</v>
      </c>
      <c r="N356" s="79" t="s">
        <v>20</v>
      </c>
      <c r="O356" s="79"/>
      <c r="P356" s="79">
        <v>5413</v>
      </c>
      <c r="Q356" s="79" t="s">
        <v>21</v>
      </c>
      <c r="R356" s="79" t="s">
        <v>61</v>
      </c>
      <c r="S356" s="79">
        <v>123456789</v>
      </c>
    </row>
    <row r="357" spans="1:19" x14ac:dyDescent="0.25">
      <c r="A357" s="79">
        <v>12345678</v>
      </c>
      <c r="B357" s="79" t="s">
        <v>779</v>
      </c>
      <c r="C357" s="82" t="s">
        <v>780</v>
      </c>
      <c r="D357" s="79">
        <v>123456</v>
      </c>
      <c r="E357" s="81">
        <v>12334567000189</v>
      </c>
      <c r="F357" s="79" t="s">
        <v>60</v>
      </c>
      <c r="G357" s="79" t="s">
        <v>23</v>
      </c>
      <c r="H357" s="79">
        <v>800.66</v>
      </c>
      <c r="I357" s="79">
        <v>772.19</v>
      </c>
      <c r="J357" s="79">
        <v>28.47</v>
      </c>
      <c r="K357" s="79" t="s">
        <v>28</v>
      </c>
      <c r="L357" s="79" t="s">
        <v>19</v>
      </c>
      <c r="M357" s="79" t="s">
        <v>26</v>
      </c>
      <c r="N357" s="79" t="s">
        <v>20</v>
      </c>
      <c r="O357" s="79"/>
      <c r="P357" s="79">
        <v>4522</v>
      </c>
      <c r="Q357" s="79" t="s">
        <v>21</v>
      </c>
      <c r="R357" s="79" t="s">
        <v>61</v>
      </c>
      <c r="S357" s="79">
        <v>123456789</v>
      </c>
    </row>
    <row r="358" spans="1:19" x14ac:dyDescent="0.25">
      <c r="A358" s="79">
        <v>12345678</v>
      </c>
      <c r="B358" s="79" t="s">
        <v>781</v>
      </c>
      <c r="C358" s="82" t="s">
        <v>782</v>
      </c>
      <c r="D358" s="79">
        <v>123456</v>
      </c>
      <c r="E358" s="81">
        <v>12334567000189</v>
      </c>
      <c r="F358" s="79" t="s">
        <v>60</v>
      </c>
      <c r="G358" s="79" t="s">
        <v>23</v>
      </c>
      <c r="H358" s="79">
        <v>31.58</v>
      </c>
      <c r="I358" s="79">
        <v>31.12</v>
      </c>
      <c r="J358" s="79">
        <v>0.46</v>
      </c>
      <c r="K358" s="79" t="s">
        <v>25</v>
      </c>
      <c r="L358" s="79" t="s">
        <v>19</v>
      </c>
      <c r="M358" s="79" t="s">
        <v>69</v>
      </c>
      <c r="N358" s="79" t="s">
        <v>20</v>
      </c>
      <c r="O358" s="79"/>
      <c r="P358" s="79">
        <v>3464</v>
      </c>
      <c r="Q358" s="79" t="s">
        <v>21</v>
      </c>
      <c r="R358" s="79" t="s">
        <v>61</v>
      </c>
      <c r="S358" s="79">
        <v>123456789</v>
      </c>
    </row>
    <row r="359" spans="1:19" x14ac:dyDescent="0.25">
      <c r="A359" s="79">
        <v>12345678</v>
      </c>
      <c r="B359" s="79" t="s">
        <v>783</v>
      </c>
      <c r="C359" s="82" t="s">
        <v>784</v>
      </c>
      <c r="D359" s="79">
        <v>123456</v>
      </c>
      <c r="E359" s="81">
        <v>12334567000189</v>
      </c>
      <c r="F359" s="79" t="s">
        <v>60</v>
      </c>
      <c r="G359" s="79" t="s">
        <v>23</v>
      </c>
      <c r="H359" s="79">
        <v>137.1</v>
      </c>
      <c r="I359" s="79">
        <v>134.91</v>
      </c>
      <c r="J359" s="79">
        <v>2.19</v>
      </c>
      <c r="K359" s="79" t="s">
        <v>25</v>
      </c>
      <c r="L359" s="79" t="s">
        <v>19</v>
      </c>
      <c r="M359" s="79" t="s">
        <v>89</v>
      </c>
      <c r="N359" s="79" t="s">
        <v>20</v>
      </c>
      <c r="O359" s="79"/>
      <c r="P359" s="79">
        <v>7730</v>
      </c>
      <c r="Q359" s="79" t="s">
        <v>21</v>
      </c>
      <c r="R359" s="79" t="s">
        <v>61</v>
      </c>
      <c r="S359" s="79">
        <v>123456789</v>
      </c>
    </row>
    <row r="360" spans="1:19" x14ac:dyDescent="0.25">
      <c r="A360" s="79">
        <v>12345678</v>
      </c>
      <c r="B360" s="79" t="s">
        <v>785</v>
      </c>
      <c r="C360" s="82" t="s">
        <v>786</v>
      </c>
      <c r="D360" s="79">
        <v>123456</v>
      </c>
      <c r="E360" s="81">
        <v>12334567000189</v>
      </c>
      <c r="F360" s="79" t="s">
        <v>60</v>
      </c>
      <c r="G360" s="79" t="s">
        <v>23</v>
      </c>
      <c r="H360" s="79">
        <v>251.19</v>
      </c>
      <c r="I360" s="79">
        <v>243.43</v>
      </c>
      <c r="J360" s="79">
        <v>7.76</v>
      </c>
      <c r="K360" s="79" t="s">
        <v>28</v>
      </c>
      <c r="L360" s="79" t="s">
        <v>19</v>
      </c>
      <c r="M360" s="79" t="s">
        <v>89</v>
      </c>
      <c r="N360" s="79" t="s">
        <v>20</v>
      </c>
      <c r="O360" s="79"/>
      <c r="P360" s="79">
        <v>3493</v>
      </c>
      <c r="Q360" s="79" t="s">
        <v>21</v>
      </c>
      <c r="R360" s="79" t="s">
        <v>61</v>
      </c>
      <c r="S360" s="79">
        <v>123456789</v>
      </c>
    </row>
    <row r="361" spans="1:19" x14ac:dyDescent="0.25">
      <c r="A361" s="79">
        <v>12345678</v>
      </c>
      <c r="B361" s="79" t="s">
        <v>787</v>
      </c>
      <c r="C361" s="82" t="s">
        <v>788</v>
      </c>
      <c r="D361" s="79">
        <v>123456</v>
      </c>
      <c r="E361" s="81">
        <v>12334567000189</v>
      </c>
      <c r="F361" s="79" t="s">
        <v>60</v>
      </c>
      <c r="G361" s="79" t="s">
        <v>23</v>
      </c>
      <c r="H361" s="79">
        <v>108.54</v>
      </c>
      <c r="I361" s="79">
        <v>106.61</v>
      </c>
      <c r="J361" s="79">
        <v>1.93</v>
      </c>
      <c r="K361" s="79" t="s">
        <v>25</v>
      </c>
      <c r="L361" s="79" t="s">
        <v>19</v>
      </c>
      <c r="M361" s="79" t="s">
        <v>69</v>
      </c>
      <c r="N361" s="79" t="s">
        <v>20</v>
      </c>
      <c r="O361" s="79"/>
      <c r="P361" s="79">
        <v>2653</v>
      </c>
      <c r="Q361" s="79" t="s">
        <v>21</v>
      </c>
      <c r="R361" s="79" t="s">
        <v>61</v>
      </c>
      <c r="S361" s="79">
        <v>123456789</v>
      </c>
    </row>
    <row r="362" spans="1:19" x14ac:dyDescent="0.25">
      <c r="A362" s="79">
        <v>12345678</v>
      </c>
      <c r="B362" s="79" t="s">
        <v>789</v>
      </c>
      <c r="C362" s="82" t="s">
        <v>790</v>
      </c>
      <c r="D362" s="79">
        <v>123456</v>
      </c>
      <c r="E362" s="81">
        <v>12334567000189</v>
      </c>
      <c r="F362" s="79" t="s">
        <v>60</v>
      </c>
      <c r="G362" s="79" t="s">
        <v>23</v>
      </c>
      <c r="H362" s="79">
        <v>767.68</v>
      </c>
      <c r="I362" s="79">
        <v>738.43</v>
      </c>
      <c r="J362" s="79">
        <v>29.25</v>
      </c>
      <c r="K362" s="79" t="s">
        <v>28</v>
      </c>
      <c r="L362" s="79" t="s">
        <v>19</v>
      </c>
      <c r="M362" s="79" t="s">
        <v>29</v>
      </c>
      <c r="N362" s="79" t="s">
        <v>20</v>
      </c>
      <c r="O362" s="79"/>
      <c r="P362" s="79">
        <v>3868</v>
      </c>
      <c r="Q362" s="79" t="s">
        <v>21</v>
      </c>
      <c r="R362" s="79" t="s">
        <v>61</v>
      </c>
      <c r="S362" s="79">
        <v>123456789</v>
      </c>
    </row>
    <row r="363" spans="1:19" x14ac:dyDescent="0.25">
      <c r="A363" s="79">
        <v>12345678</v>
      </c>
      <c r="B363" s="79" t="s">
        <v>791</v>
      </c>
      <c r="C363" s="82" t="s">
        <v>792</v>
      </c>
      <c r="D363" s="79">
        <v>123456</v>
      </c>
      <c r="E363" s="81">
        <v>12334567000189</v>
      </c>
      <c r="F363" s="79" t="s">
        <v>60</v>
      </c>
      <c r="G363" s="79" t="s">
        <v>23</v>
      </c>
      <c r="H363" s="79">
        <v>57.24</v>
      </c>
      <c r="I363" s="79">
        <v>55.34</v>
      </c>
      <c r="J363" s="79">
        <v>1.9</v>
      </c>
      <c r="K363" s="79" t="s">
        <v>28</v>
      </c>
      <c r="L363" s="79" t="s">
        <v>19</v>
      </c>
      <c r="M363" s="79" t="s">
        <v>24</v>
      </c>
      <c r="N363" s="79" t="s">
        <v>20</v>
      </c>
      <c r="O363" s="79"/>
      <c r="P363" s="79">
        <v>1259</v>
      </c>
      <c r="Q363" s="79" t="s">
        <v>62</v>
      </c>
      <c r="R363" s="79" t="s">
        <v>61</v>
      </c>
      <c r="S363" s="79">
        <v>123456789</v>
      </c>
    </row>
    <row r="364" spans="1:19" x14ac:dyDescent="0.25">
      <c r="A364" s="79">
        <v>12345678</v>
      </c>
      <c r="B364" s="79" t="s">
        <v>793</v>
      </c>
      <c r="C364" s="82" t="s">
        <v>794</v>
      </c>
      <c r="D364" s="79">
        <v>123456</v>
      </c>
      <c r="E364" s="81">
        <v>12334567000189</v>
      </c>
      <c r="F364" s="79" t="s">
        <v>60</v>
      </c>
      <c r="G364" s="79" t="s">
        <v>23</v>
      </c>
      <c r="H364" s="79">
        <v>103.75</v>
      </c>
      <c r="I364" s="79">
        <v>102.86</v>
      </c>
      <c r="J364" s="79">
        <v>0.89</v>
      </c>
      <c r="K364" s="79" t="s">
        <v>22</v>
      </c>
      <c r="L364" s="79" t="s">
        <v>19</v>
      </c>
      <c r="M364" s="79" t="s">
        <v>19</v>
      </c>
      <c r="N364" s="79" t="s">
        <v>20</v>
      </c>
      <c r="O364" s="79"/>
      <c r="P364" s="79">
        <v>7114</v>
      </c>
      <c r="Q364" s="79" t="s">
        <v>21</v>
      </c>
      <c r="R364" s="79" t="s">
        <v>61</v>
      </c>
      <c r="S364" s="79">
        <v>123456789</v>
      </c>
    </row>
    <row r="365" spans="1:19" x14ac:dyDescent="0.25">
      <c r="A365" s="79">
        <v>12345678</v>
      </c>
      <c r="B365" s="79" t="s">
        <v>795</v>
      </c>
      <c r="C365" s="82" t="s">
        <v>796</v>
      </c>
      <c r="D365" s="79">
        <v>123456</v>
      </c>
      <c r="E365" s="81">
        <v>12334567000189</v>
      </c>
      <c r="F365" s="79" t="s">
        <v>60</v>
      </c>
      <c r="G365" s="79" t="s">
        <v>23</v>
      </c>
      <c r="H365" s="79">
        <v>237.15</v>
      </c>
      <c r="I365" s="79">
        <v>234.94</v>
      </c>
      <c r="J365" s="79">
        <v>2.21</v>
      </c>
      <c r="K365" s="79" t="s">
        <v>22</v>
      </c>
      <c r="L365" s="79" t="s">
        <v>19</v>
      </c>
      <c r="M365" s="79" t="s">
        <v>19</v>
      </c>
      <c r="N365" s="79" t="s">
        <v>20</v>
      </c>
      <c r="O365" s="79"/>
      <c r="P365" s="79">
        <v>3100</v>
      </c>
      <c r="Q365" s="79" t="s">
        <v>21</v>
      </c>
      <c r="R365" s="79" t="s">
        <v>61</v>
      </c>
      <c r="S365" s="79">
        <v>123456789</v>
      </c>
    </row>
    <row r="366" spans="1:19" x14ac:dyDescent="0.25">
      <c r="A366" s="79">
        <v>12345678</v>
      </c>
      <c r="B366" s="79" t="s">
        <v>797</v>
      </c>
      <c r="C366" s="82" t="s">
        <v>798</v>
      </c>
      <c r="D366" s="79">
        <v>123456</v>
      </c>
      <c r="E366" s="81">
        <v>12334567000189</v>
      </c>
      <c r="F366" s="79" t="s">
        <v>60</v>
      </c>
      <c r="G366" s="79" t="s">
        <v>23</v>
      </c>
      <c r="H366" s="79">
        <v>1301.06</v>
      </c>
      <c r="I366" s="79">
        <v>1260.1500000000001</v>
      </c>
      <c r="J366" s="79">
        <v>40.909999999999997</v>
      </c>
      <c r="K366" s="79" t="s">
        <v>28</v>
      </c>
      <c r="L366" s="79" t="s">
        <v>19</v>
      </c>
      <c r="M366" s="79" t="s">
        <v>24</v>
      </c>
      <c r="N366" s="79" t="s">
        <v>20</v>
      </c>
      <c r="O366" s="79"/>
      <c r="P366" s="79">
        <v>1560</v>
      </c>
      <c r="Q366" s="79" t="s">
        <v>62</v>
      </c>
      <c r="R366" s="79" t="s">
        <v>61</v>
      </c>
      <c r="S366" s="79">
        <v>123456789</v>
      </c>
    </row>
    <row r="367" spans="1:19" x14ac:dyDescent="0.25">
      <c r="A367" s="79">
        <v>12345678</v>
      </c>
      <c r="B367" s="79" t="s">
        <v>799</v>
      </c>
      <c r="C367" s="82" t="s">
        <v>800</v>
      </c>
      <c r="D367" s="79">
        <v>123456</v>
      </c>
      <c r="E367" s="81">
        <v>12334567000189</v>
      </c>
      <c r="F367" s="79" t="s">
        <v>60</v>
      </c>
      <c r="G367" s="79" t="s">
        <v>23</v>
      </c>
      <c r="H367" s="79">
        <v>240.32</v>
      </c>
      <c r="I367" s="79">
        <v>235.08</v>
      </c>
      <c r="J367" s="79">
        <v>5.24</v>
      </c>
      <c r="K367" s="79" t="s">
        <v>25</v>
      </c>
      <c r="L367" s="79" t="s">
        <v>19</v>
      </c>
      <c r="M367" s="79" t="s">
        <v>29</v>
      </c>
      <c r="N367" s="79" t="s">
        <v>20</v>
      </c>
      <c r="O367" s="79"/>
      <c r="P367" s="79">
        <v>9993</v>
      </c>
      <c r="Q367" s="79" t="s">
        <v>21</v>
      </c>
      <c r="R367" s="79" t="s">
        <v>61</v>
      </c>
      <c r="S367" s="79">
        <v>123456789</v>
      </c>
    </row>
    <row r="368" spans="1:19" x14ac:dyDescent="0.25">
      <c r="A368" s="79">
        <v>12345678</v>
      </c>
      <c r="B368" s="79" t="s">
        <v>801</v>
      </c>
      <c r="C368" s="82" t="s">
        <v>802</v>
      </c>
      <c r="D368" s="79">
        <v>123456</v>
      </c>
      <c r="E368" s="81">
        <v>12334567000189</v>
      </c>
      <c r="F368" s="79" t="s">
        <v>60</v>
      </c>
      <c r="G368" s="79" t="s">
        <v>23</v>
      </c>
      <c r="H368" s="79">
        <v>757.96</v>
      </c>
      <c r="I368" s="79">
        <v>732.23</v>
      </c>
      <c r="J368" s="79">
        <v>25.73</v>
      </c>
      <c r="K368" s="79" t="s">
        <v>28</v>
      </c>
      <c r="L368" s="79" t="s">
        <v>19</v>
      </c>
      <c r="M368" s="79" t="s">
        <v>26</v>
      </c>
      <c r="N368" s="79" t="s">
        <v>20</v>
      </c>
      <c r="O368" s="79"/>
      <c r="P368" s="79">
        <v>3486</v>
      </c>
      <c r="Q368" s="79" t="s">
        <v>21</v>
      </c>
      <c r="R368" s="79" t="s">
        <v>61</v>
      </c>
      <c r="S368" s="79">
        <v>123456789</v>
      </c>
    </row>
    <row r="369" spans="1:19" x14ac:dyDescent="0.25">
      <c r="A369" s="79">
        <v>12345678</v>
      </c>
      <c r="B369" s="79" t="s">
        <v>803</v>
      </c>
      <c r="C369" s="82" t="s">
        <v>804</v>
      </c>
      <c r="D369" s="79">
        <v>123456</v>
      </c>
      <c r="E369" s="81">
        <v>12334567000189</v>
      </c>
      <c r="F369" s="79" t="s">
        <v>60</v>
      </c>
      <c r="G369" s="79" t="s">
        <v>23</v>
      </c>
      <c r="H369" s="79">
        <v>164.62</v>
      </c>
      <c r="I369" s="79">
        <v>161.68</v>
      </c>
      <c r="J369" s="79">
        <v>2.94</v>
      </c>
      <c r="K369" s="79" t="s">
        <v>25</v>
      </c>
      <c r="L369" s="79" t="s">
        <v>19</v>
      </c>
      <c r="M369" s="79" t="s">
        <v>69</v>
      </c>
      <c r="N369" s="79" t="s">
        <v>20</v>
      </c>
      <c r="O369" s="79"/>
      <c r="P369" s="79">
        <v>5117</v>
      </c>
      <c r="Q369" s="79" t="s">
        <v>21</v>
      </c>
      <c r="R369" s="79" t="s">
        <v>61</v>
      </c>
      <c r="S369" s="79">
        <v>123456789</v>
      </c>
    </row>
    <row r="370" spans="1:19" x14ac:dyDescent="0.25">
      <c r="A370" s="79">
        <v>12345678</v>
      </c>
      <c r="B370" s="79" t="s">
        <v>805</v>
      </c>
      <c r="C370" s="82" t="s">
        <v>806</v>
      </c>
      <c r="D370" s="79">
        <v>123456</v>
      </c>
      <c r="E370" s="81">
        <v>12334567000189</v>
      </c>
      <c r="F370" s="79" t="s">
        <v>60</v>
      </c>
      <c r="G370" s="79" t="s">
        <v>23</v>
      </c>
      <c r="H370" s="79">
        <v>222.7</v>
      </c>
      <c r="I370" s="79">
        <v>218.61</v>
      </c>
      <c r="J370" s="79">
        <v>4.09</v>
      </c>
      <c r="K370" s="79" t="s">
        <v>25</v>
      </c>
      <c r="L370" s="79" t="s">
        <v>19</v>
      </c>
      <c r="M370" s="79" t="s">
        <v>29</v>
      </c>
      <c r="N370" s="79" t="s">
        <v>20</v>
      </c>
      <c r="O370" s="79"/>
      <c r="P370" s="79">
        <v>1176</v>
      </c>
      <c r="Q370" s="79" t="s">
        <v>21</v>
      </c>
      <c r="R370" s="79" t="s">
        <v>61</v>
      </c>
      <c r="S370" s="79">
        <v>123456789</v>
      </c>
    </row>
    <row r="371" spans="1:19" x14ac:dyDescent="0.25">
      <c r="A371" s="79">
        <v>12345678</v>
      </c>
      <c r="B371" s="79" t="s">
        <v>807</v>
      </c>
      <c r="C371" s="82" t="s">
        <v>808</v>
      </c>
      <c r="D371" s="79">
        <v>123456</v>
      </c>
      <c r="E371" s="81">
        <v>12334567000189</v>
      </c>
      <c r="F371" s="79" t="s">
        <v>60</v>
      </c>
      <c r="G371" s="79" t="s">
        <v>23</v>
      </c>
      <c r="H371" s="79">
        <v>233.78</v>
      </c>
      <c r="I371" s="79">
        <v>229.48</v>
      </c>
      <c r="J371" s="79">
        <v>4.3</v>
      </c>
      <c r="K371" s="79" t="s">
        <v>25</v>
      </c>
      <c r="L371" s="79" t="s">
        <v>19</v>
      </c>
      <c r="M371" s="79" t="s">
        <v>27</v>
      </c>
      <c r="N371" s="79" t="s">
        <v>20</v>
      </c>
      <c r="O371" s="79"/>
      <c r="P371" s="79">
        <v>6940</v>
      </c>
      <c r="Q371" s="79" t="s">
        <v>21</v>
      </c>
      <c r="R371" s="79" t="s">
        <v>61</v>
      </c>
      <c r="S371" s="79">
        <v>123456789</v>
      </c>
    </row>
    <row r="372" spans="1:19" x14ac:dyDescent="0.25">
      <c r="A372" s="79">
        <v>12345678</v>
      </c>
      <c r="B372" s="79" t="s">
        <v>809</v>
      </c>
      <c r="C372" s="82" t="s">
        <v>810</v>
      </c>
      <c r="D372" s="79">
        <v>123456</v>
      </c>
      <c r="E372" s="81">
        <v>12334567000189</v>
      </c>
      <c r="F372" s="79" t="s">
        <v>60</v>
      </c>
      <c r="G372" s="79" t="s">
        <v>23</v>
      </c>
      <c r="H372" s="79">
        <v>213.46</v>
      </c>
      <c r="I372" s="79">
        <v>205.67</v>
      </c>
      <c r="J372" s="79">
        <v>7.79</v>
      </c>
      <c r="K372" s="79" t="s">
        <v>28</v>
      </c>
      <c r="L372" s="79" t="s">
        <v>19</v>
      </c>
      <c r="M372" s="79" t="s">
        <v>29</v>
      </c>
      <c r="N372" s="79" t="s">
        <v>20</v>
      </c>
      <c r="O372" s="79"/>
      <c r="P372" s="79">
        <v>7268</v>
      </c>
      <c r="Q372" s="79" t="s">
        <v>21</v>
      </c>
      <c r="R372" s="79" t="s">
        <v>61</v>
      </c>
      <c r="S372" s="79">
        <v>123456789</v>
      </c>
    </row>
    <row r="373" spans="1:19" x14ac:dyDescent="0.25">
      <c r="A373" s="79">
        <v>12345678</v>
      </c>
      <c r="B373" s="79" t="s">
        <v>811</v>
      </c>
      <c r="C373" s="82" t="s">
        <v>812</v>
      </c>
      <c r="D373" s="79">
        <v>123456</v>
      </c>
      <c r="E373" s="81">
        <v>12334567000189</v>
      </c>
      <c r="F373" s="79" t="s">
        <v>60</v>
      </c>
      <c r="G373" s="79" t="s">
        <v>23</v>
      </c>
      <c r="H373" s="79">
        <v>685.61</v>
      </c>
      <c r="I373" s="79">
        <v>664.03</v>
      </c>
      <c r="J373" s="79">
        <v>21.58</v>
      </c>
      <c r="K373" s="79" t="s">
        <v>28</v>
      </c>
      <c r="L373" s="79" t="s">
        <v>19</v>
      </c>
      <c r="M373" s="79" t="s">
        <v>29</v>
      </c>
      <c r="N373" s="79" t="s">
        <v>20</v>
      </c>
      <c r="O373" s="79"/>
      <c r="P373" s="79">
        <v>8481</v>
      </c>
      <c r="Q373" s="79" t="s">
        <v>21</v>
      </c>
      <c r="R373" s="79" t="s">
        <v>61</v>
      </c>
      <c r="S373" s="79">
        <v>123456789</v>
      </c>
    </row>
    <row r="374" spans="1:19" x14ac:dyDescent="0.25">
      <c r="A374" s="79">
        <v>12345678</v>
      </c>
      <c r="B374" s="79" t="s">
        <v>813</v>
      </c>
      <c r="C374" s="82" t="s">
        <v>814</v>
      </c>
      <c r="D374" s="79">
        <v>123456</v>
      </c>
      <c r="E374" s="81">
        <v>12334567000189</v>
      </c>
      <c r="F374" s="79" t="s">
        <v>60</v>
      </c>
      <c r="G374" s="79" t="s">
        <v>23</v>
      </c>
      <c r="H374" s="79">
        <v>506.43</v>
      </c>
      <c r="I374" s="79">
        <v>495.41</v>
      </c>
      <c r="J374" s="79">
        <v>11.02</v>
      </c>
      <c r="K374" s="79" t="s">
        <v>25</v>
      </c>
      <c r="L374" s="79" t="s">
        <v>19</v>
      </c>
      <c r="M374" s="79" t="s">
        <v>27</v>
      </c>
      <c r="N374" s="79" t="s">
        <v>20</v>
      </c>
      <c r="O374" s="79"/>
      <c r="P374" s="79">
        <v>7652</v>
      </c>
      <c r="Q374" s="79" t="s">
        <v>21</v>
      </c>
      <c r="R374" s="79" t="s">
        <v>61</v>
      </c>
      <c r="S374" s="79">
        <v>123456789</v>
      </c>
    </row>
    <row r="375" spans="1:19" x14ac:dyDescent="0.25">
      <c r="A375" s="79">
        <v>12345678</v>
      </c>
      <c r="B375" s="79" t="s">
        <v>815</v>
      </c>
      <c r="C375" s="82" t="s">
        <v>816</v>
      </c>
      <c r="D375" s="79">
        <v>123456</v>
      </c>
      <c r="E375" s="81">
        <v>12334567000189</v>
      </c>
      <c r="F375" s="79" t="s">
        <v>60</v>
      </c>
      <c r="G375" s="79" t="s">
        <v>23</v>
      </c>
      <c r="H375" s="79">
        <v>120.98</v>
      </c>
      <c r="I375" s="79">
        <v>116.87</v>
      </c>
      <c r="J375" s="79">
        <v>4.1100000000000003</v>
      </c>
      <c r="K375" s="79" t="s">
        <v>28</v>
      </c>
      <c r="L375" s="79" t="s">
        <v>19</v>
      </c>
      <c r="M375" s="79" t="s">
        <v>69</v>
      </c>
      <c r="N375" s="79" t="s">
        <v>20</v>
      </c>
      <c r="O375" s="79"/>
      <c r="P375" s="79">
        <v>7311</v>
      </c>
      <c r="Q375" s="79" t="s">
        <v>21</v>
      </c>
      <c r="R375" s="79" t="s">
        <v>61</v>
      </c>
      <c r="S375" s="79">
        <v>123456789</v>
      </c>
    </row>
    <row r="376" spans="1:19" x14ac:dyDescent="0.25">
      <c r="A376" s="79">
        <v>12345678</v>
      </c>
      <c r="B376" s="79" t="s">
        <v>817</v>
      </c>
      <c r="C376" s="82" t="s">
        <v>818</v>
      </c>
      <c r="D376" s="79">
        <v>123456</v>
      </c>
      <c r="E376" s="81">
        <v>12334567000189</v>
      </c>
      <c r="F376" s="79" t="s">
        <v>60</v>
      </c>
      <c r="G376" s="79" t="s">
        <v>125</v>
      </c>
      <c r="H376" s="79">
        <v>832.47</v>
      </c>
      <c r="I376" s="79">
        <v>803.83</v>
      </c>
      <c r="J376" s="79">
        <v>28.64</v>
      </c>
      <c r="K376" s="79" t="s">
        <v>28</v>
      </c>
      <c r="L376" s="79" t="s">
        <v>19</v>
      </c>
      <c r="M376" s="79" t="s">
        <v>89</v>
      </c>
      <c r="N376" s="79" t="s">
        <v>20</v>
      </c>
      <c r="O376" s="79"/>
      <c r="P376" s="79">
        <v>7547</v>
      </c>
      <c r="Q376" s="79" t="s">
        <v>72</v>
      </c>
      <c r="R376" s="79" t="s">
        <v>61</v>
      </c>
      <c r="S376" s="79">
        <v>123456789</v>
      </c>
    </row>
    <row r="377" spans="1:19" x14ac:dyDescent="0.25">
      <c r="A377" s="79">
        <v>12345678</v>
      </c>
      <c r="B377" s="79" t="s">
        <v>819</v>
      </c>
      <c r="C377" s="82" t="s">
        <v>820</v>
      </c>
      <c r="D377" s="79">
        <v>123456</v>
      </c>
      <c r="E377" s="81">
        <v>12334567000189</v>
      </c>
      <c r="F377" s="79" t="s">
        <v>60</v>
      </c>
      <c r="G377" s="79" t="s">
        <v>23</v>
      </c>
      <c r="H377" s="79">
        <v>1348.08</v>
      </c>
      <c r="I377" s="79">
        <v>1321.98</v>
      </c>
      <c r="J377" s="79">
        <v>26.1</v>
      </c>
      <c r="K377" s="79" t="s">
        <v>25</v>
      </c>
      <c r="L377" s="79" t="s">
        <v>19</v>
      </c>
      <c r="M377" s="79" t="s">
        <v>26</v>
      </c>
      <c r="N377" s="79" t="s">
        <v>20</v>
      </c>
      <c r="O377" s="79"/>
      <c r="P377" s="79">
        <v>4669</v>
      </c>
      <c r="Q377" s="79" t="s">
        <v>21</v>
      </c>
      <c r="R377" s="79" t="s">
        <v>61</v>
      </c>
      <c r="S377" s="79">
        <v>123456789</v>
      </c>
    </row>
    <row r="378" spans="1:19" x14ac:dyDescent="0.25">
      <c r="A378" s="79">
        <v>12345678</v>
      </c>
      <c r="B378" s="79" t="s">
        <v>821</v>
      </c>
      <c r="C378" s="82" t="s">
        <v>822</v>
      </c>
      <c r="D378" s="79">
        <v>123456</v>
      </c>
      <c r="E378" s="81">
        <v>12334567000189</v>
      </c>
      <c r="F378" s="79" t="s">
        <v>60</v>
      </c>
      <c r="G378" s="79" t="s">
        <v>23</v>
      </c>
      <c r="H378" s="79">
        <v>189.45</v>
      </c>
      <c r="I378" s="79">
        <v>182.35</v>
      </c>
      <c r="J378" s="79">
        <v>7.1</v>
      </c>
      <c r="K378" s="79" t="s">
        <v>28</v>
      </c>
      <c r="L378" s="79" t="s">
        <v>19</v>
      </c>
      <c r="M378" s="79" t="s">
        <v>24</v>
      </c>
      <c r="N378" s="79" t="s">
        <v>20</v>
      </c>
      <c r="O378" s="79"/>
      <c r="P378" s="79">
        <v>9322</v>
      </c>
      <c r="Q378" s="79" t="s">
        <v>21</v>
      </c>
      <c r="R378" s="79" t="s">
        <v>61</v>
      </c>
      <c r="S378" s="79">
        <v>123456789</v>
      </c>
    </row>
    <row r="379" spans="1:19" x14ac:dyDescent="0.25">
      <c r="A379" s="79">
        <v>12345678</v>
      </c>
      <c r="B379" s="79" t="s">
        <v>823</v>
      </c>
      <c r="C379" s="82" t="s">
        <v>824</v>
      </c>
      <c r="D379" s="79">
        <v>123456</v>
      </c>
      <c r="E379" s="81">
        <v>12334567000189</v>
      </c>
      <c r="F379" s="79" t="s">
        <v>60</v>
      </c>
      <c r="G379" s="79" t="s">
        <v>23</v>
      </c>
      <c r="H379" s="79">
        <v>207.58</v>
      </c>
      <c r="I379" s="79">
        <v>205.66</v>
      </c>
      <c r="J379" s="79">
        <v>1.92</v>
      </c>
      <c r="K379" s="79" t="s">
        <v>22</v>
      </c>
      <c r="L379" s="79" t="s">
        <v>19</v>
      </c>
      <c r="M379" s="79" t="s">
        <v>19</v>
      </c>
      <c r="N379" s="79" t="s">
        <v>20</v>
      </c>
      <c r="O379" s="79"/>
      <c r="P379" s="79">
        <v>8772</v>
      </c>
      <c r="Q379" s="79" t="s">
        <v>21</v>
      </c>
      <c r="R379" s="79" t="s">
        <v>61</v>
      </c>
      <c r="S379" s="79">
        <v>123456789</v>
      </c>
    </row>
    <row r="380" spans="1:19" x14ac:dyDescent="0.25">
      <c r="A380" s="79">
        <v>12345678</v>
      </c>
      <c r="B380" s="79" t="s">
        <v>825</v>
      </c>
      <c r="C380" s="82" t="s">
        <v>826</v>
      </c>
      <c r="D380" s="79">
        <v>123456</v>
      </c>
      <c r="E380" s="81">
        <v>12334567000189</v>
      </c>
      <c r="F380" s="79" t="s">
        <v>60</v>
      </c>
      <c r="G380" s="79" t="s">
        <v>23</v>
      </c>
      <c r="H380" s="79">
        <v>113</v>
      </c>
      <c r="I380" s="79">
        <v>108.41</v>
      </c>
      <c r="J380" s="79">
        <v>4.59</v>
      </c>
      <c r="K380" s="79" t="s">
        <v>28</v>
      </c>
      <c r="L380" s="79" t="s">
        <v>19</v>
      </c>
      <c r="M380" s="79" t="s">
        <v>26</v>
      </c>
      <c r="N380" s="79" t="s">
        <v>20</v>
      </c>
      <c r="O380" s="79"/>
      <c r="P380" s="79">
        <v>9162</v>
      </c>
      <c r="Q380" s="79" t="s">
        <v>21</v>
      </c>
      <c r="R380" s="79" t="s">
        <v>61</v>
      </c>
      <c r="S380" s="79">
        <v>123456789</v>
      </c>
    </row>
    <row r="381" spans="1:19" x14ac:dyDescent="0.25">
      <c r="A381" s="79">
        <v>12345678</v>
      </c>
      <c r="B381" s="79" t="s">
        <v>827</v>
      </c>
      <c r="C381" s="82" t="s">
        <v>828</v>
      </c>
      <c r="D381" s="79">
        <v>123456</v>
      </c>
      <c r="E381" s="81">
        <v>12334567000189</v>
      </c>
      <c r="F381" s="79" t="s">
        <v>60</v>
      </c>
      <c r="G381" s="79" t="s">
        <v>23</v>
      </c>
      <c r="H381" s="79">
        <v>262.91000000000003</v>
      </c>
      <c r="I381" s="79">
        <v>251.42</v>
      </c>
      <c r="J381" s="79">
        <v>11.49</v>
      </c>
      <c r="K381" s="79" t="s">
        <v>28</v>
      </c>
      <c r="L381" s="79" t="s">
        <v>19</v>
      </c>
      <c r="M381" s="79" t="s">
        <v>89</v>
      </c>
      <c r="N381" s="79" t="s">
        <v>20</v>
      </c>
      <c r="O381" s="79"/>
      <c r="P381" s="79">
        <v>9978</v>
      </c>
      <c r="Q381" s="79" t="s">
        <v>21</v>
      </c>
      <c r="R381" s="79" t="s">
        <v>61</v>
      </c>
      <c r="S381" s="79">
        <v>123456789</v>
      </c>
    </row>
    <row r="382" spans="1:19" x14ac:dyDescent="0.25">
      <c r="A382" s="79">
        <v>12345678</v>
      </c>
      <c r="B382" s="79" t="s">
        <v>829</v>
      </c>
      <c r="C382" s="82" t="s">
        <v>830</v>
      </c>
      <c r="D382" s="79">
        <v>123456</v>
      </c>
      <c r="E382" s="81">
        <v>12334567000189</v>
      </c>
      <c r="F382" s="79" t="s">
        <v>60</v>
      </c>
      <c r="G382" s="79" t="s">
        <v>23</v>
      </c>
      <c r="H382" s="79">
        <v>701.22</v>
      </c>
      <c r="I382" s="79">
        <v>691.69</v>
      </c>
      <c r="J382" s="79">
        <v>9.5299999999999994</v>
      </c>
      <c r="K382" s="79" t="s">
        <v>25</v>
      </c>
      <c r="L382" s="79" t="s">
        <v>19</v>
      </c>
      <c r="M382" s="79" t="s">
        <v>27</v>
      </c>
      <c r="N382" s="79" t="s">
        <v>20</v>
      </c>
      <c r="O382" s="79"/>
      <c r="P382" s="79">
        <v>4244</v>
      </c>
      <c r="Q382" s="79" t="s">
        <v>21</v>
      </c>
      <c r="R382" s="79" t="s">
        <v>61</v>
      </c>
      <c r="S382" s="79">
        <v>123456789</v>
      </c>
    </row>
    <row r="383" spans="1:19" x14ac:dyDescent="0.25">
      <c r="A383" s="79">
        <v>12345678</v>
      </c>
      <c r="B383" s="79" t="s">
        <v>831</v>
      </c>
      <c r="C383" s="82" t="s">
        <v>832</v>
      </c>
      <c r="D383" s="79">
        <v>123456</v>
      </c>
      <c r="E383" s="81">
        <v>12334567000189</v>
      </c>
      <c r="F383" s="79" t="s">
        <v>60</v>
      </c>
      <c r="G383" s="79" t="s">
        <v>23</v>
      </c>
      <c r="H383" s="79">
        <v>119.35</v>
      </c>
      <c r="I383" s="79">
        <v>114.89</v>
      </c>
      <c r="J383" s="79">
        <v>4.46</v>
      </c>
      <c r="K383" s="79" t="s">
        <v>28</v>
      </c>
      <c r="L383" s="79" t="s">
        <v>19</v>
      </c>
      <c r="M383" s="79" t="s">
        <v>24</v>
      </c>
      <c r="N383" s="79" t="s">
        <v>20</v>
      </c>
      <c r="O383" s="79"/>
      <c r="P383" s="79">
        <v>9329</v>
      </c>
      <c r="Q383" s="79" t="s">
        <v>21</v>
      </c>
      <c r="R383" s="79" t="s">
        <v>61</v>
      </c>
      <c r="S383" s="79">
        <v>123456789</v>
      </c>
    </row>
    <row r="384" spans="1:19" x14ac:dyDescent="0.25">
      <c r="A384" s="79">
        <v>12345678</v>
      </c>
      <c r="B384" s="79" t="s">
        <v>833</v>
      </c>
      <c r="C384" s="82" t="s">
        <v>834</v>
      </c>
      <c r="D384" s="79">
        <v>123456</v>
      </c>
      <c r="E384" s="81">
        <v>12334567000189</v>
      </c>
      <c r="F384" s="79" t="s">
        <v>60</v>
      </c>
      <c r="G384" s="79" t="s">
        <v>23</v>
      </c>
      <c r="H384" s="79">
        <v>212.76</v>
      </c>
      <c r="I384" s="79">
        <v>203.47</v>
      </c>
      <c r="J384" s="79">
        <v>9.2899999999999991</v>
      </c>
      <c r="K384" s="79" t="s">
        <v>28</v>
      </c>
      <c r="L384" s="79" t="s">
        <v>19</v>
      </c>
      <c r="M384" s="79" t="s">
        <v>29</v>
      </c>
      <c r="N384" s="79" t="s">
        <v>20</v>
      </c>
      <c r="O384" s="79"/>
      <c r="P384" s="79">
        <v>5230</v>
      </c>
      <c r="Q384" s="79" t="s">
        <v>21</v>
      </c>
      <c r="R384" s="79" t="s">
        <v>61</v>
      </c>
      <c r="S384" s="79">
        <v>123456789</v>
      </c>
    </row>
    <row r="385" spans="1:19" x14ac:dyDescent="0.25">
      <c r="A385" s="79">
        <v>12345678</v>
      </c>
      <c r="B385" s="79" t="s">
        <v>835</v>
      </c>
      <c r="C385" s="82" t="s">
        <v>836</v>
      </c>
      <c r="D385" s="79">
        <v>123456</v>
      </c>
      <c r="E385" s="81">
        <v>12334567000189</v>
      </c>
      <c r="F385" s="79" t="s">
        <v>60</v>
      </c>
      <c r="G385" s="79" t="s">
        <v>23</v>
      </c>
      <c r="H385" s="79">
        <v>260.49</v>
      </c>
      <c r="I385" s="79">
        <v>255.64</v>
      </c>
      <c r="J385" s="79">
        <v>4.8499999999999996</v>
      </c>
      <c r="K385" s="79" t="s">
        <v>25</v>
      </c>
      <c r="L385" s="79" t="s">
        <v>19</v>
      </c>
      <c r="M385" s="79" t="s">
        <v>27</v>
      </c>
      <c r="N385" s="79" t="s">
        <v>20</v>
      </c>
      <c r="O385" s="79"/>
      <c r="P385" s="79">
        <v>5202</v>
      </c>
      <c r="Q385" s="79" t="s">
        <v>21</v>
      </c>
      <c r="R385" s="79" t="s">
        <v>61</v>
      </c>
      <c r="S385" s="79">
        <v>123456789</v>
      </c>
    </row>
    <row r="386" spans="1:19" x14ac:dyDescent="0.25">
      <c r="A386" s="79">
        <v>12345678</v>
      </c>
      <c r="B386" s="79" t="s">
        <v>837</v>
      </c>
      <c r="C386" s="82" t="s">
        <v>838</v>
      </c>
      <c r="D386" s="79">
        <v>123456</v>
      </c>
      <c r="E386" s="81">
        <v>12334567000189</v>
      </c>
      <c r="F386" s="79" t="s">
        <v>60</v>
      </c>
      <c r="G386" s="79" t="s">
        <v>23</v>
      </c>
      <c r="H386" s="79">
        <v>92.59</v>
      </c>
      <c r="I386" s="79">
        <v>91.74</v>
      </c>
      <c r="J386" s="79">
        <v>0.85</v>
      </c>
      <c r="K386" s="79" t="s">
        <v>22</v>
      </c>
      <c r="L386" s="79" t="s">
        <v>19</v>
      </c>
      <c r="M386" s="79" t="s">
        <v>19</v>
      </c>
      <c r="N386" s="79" t="s">
        <v>20</v>
      </c>
      <c r="O386" s="79"/>
      <c r="P386" s="79">
        <v>9251</v>
      </c>
      <c r="Q386" s="79" t="s">
        <v>21</v>
      </c>
      <c r="R386" s="79" t="s">
        <v>61</v>
      </c>
      <c r="S386" s="79">
        <v>123456789</v>
      </c>
    </row>
    <row r="387" spans="1:19" x14ac:dyDescent="0.25">
      <c r="A387" s="79">
        <v>12345678</v>
      </c>
      <c r="B387" s="79" t="s">
        <v>839</v>
      </c>
      <c r="C387" s="82" t="s">
        <v>840</v>
      </c>
      <c r="D387" s="79">
        <v>123456</v>
      </c>
      <c r="E387" s="81">
        <v>12334567000189</v>
      </c>
      <c r="F387" s="79" t="s">
        <v>60</v>
      </c>
      <c r="G387" s="79" t="s">
        <v>23</v>
      </c>
      <c r="H387" s="79">
        <v>102.2</v>
      </c>
      <c r="I387" s="79">
        <v>100.35</v>
      </c>
      <c r="J387" s="79">
        <v>1.85</v>
      </c>
      <c r="K387" s="79" t="s">
        <v>25</v>
      </c>
      <c r="L387" s="79" t="s">
        <v>19</v>
      </c>
      <c r="M387" s="79" t="s">
        <v>27</v>
      </c>
      <c r="N387" s="79" t="s">
        <v>20</v>
      </c>
      <c r="O387" s="79"/>
      <c r="P387" s="79">
        <v>9753</v>
      </c>
      <c r="Q387" s="79" t="s">
        <v>21</v>
      </c>
      <c r="R387" s="79" t="s">
        <v>61</v>
      </c>
      <c r="S387" s="79">
        <v>123456789</v>
      </c>
    </row>
    <row r="388" spans="1:19" x14ac:dyDescent="0.25">
      <c r="A388" s="79">
        <v>12345678</v>
      </c>
      <c r="B388" s="79" t="s">
        <v>841</v>
      </c>
      <c r="C388" s="82" t="s">
        <v>842</v>
      </c>
      <c r="D388" s="79">
        <v>123456</v>
      </c>
      <c r="E388" s="81">
        <v>12334567000189</v>
      </c>
      <c r="F388" s="79" t="s">
        <v>60</v>
      </c>
      <c r="G388" s="79" t="s">
        <v>23</v>
      </c>
      <c r="H388" s="79">
        <v>103.28</v>
      </c>
      <c r="I388" s="79">
        <v>100.12</v>
      </c>
      <c r="J388" s="79">
        <v>3.16</v>
      </c>
      <c r="K388" s="79" t="s">
        <v>28</v>
      </c>
      <c r="L388" s="79" t="s">
        <v>19</v>
      </c>
      <c r="M388" s="79" t="s">
        <v>29</v>
      </c>
      <c r="N388" s="79" t="s">
        <v>20</v>
      </c>
      <c r="O388" s="79"/>
      <c r="P388" s="79">
        <v>8441</v>
      </c>
      <c r="Q388" s="79" t="s">
        <v>21</v>
      </c>
      <c r="R388" s="79" t="s">
        <v>61</v>
      </c>
      <c r="S388" s="79">
        <v>123456789</v>
      </c>
    </row>
    <row r="389" spans="1:19" x14ac:dyDescent="0.25">
      <c r="A389" s="79">
        <v>12345678</v>
      </c>
      <c r="B389" s="79" t="s">
        <v>843</v>
      </c>
      <c r="C389" s="82" t="s">
        <v>844</v>
      </c>
      <c r="D389" s="79">
        <v>123456</v>
      </c>
      <c r="E389" s="81">
        <v>12334567000189</v>
      </c>
      <c r="F389" s="79" t="s">
        <v>60</v>
      </c>
      <c r="G389" s="79" t="s">
        <v>23</v>
      </c>
      <c r="H389" s="79">
        <v>194.76</v>
      </c>
      <c r="I389" s="79">
        <v>188.41</v>
      </c>
      <c r="J389" s="79">
        <v>6.35</v>
      </c>
      <c r="K389" s="79" t="s">
        <v>28</v>
      </c>
      <c r="L389" s="79" t="s">
        <v>19</v>
      </c>
      <c r="M389" s="79" t="s">
        <v>24</v>
      </c>
      <c r="N389" s="79" t="s">
        <v>20</v>
      </c>
      <c r="O389" s="79"/>
      <c r="P389" s="79">
        <v>4128</v>
      </c>
      <c r="Q389" s="79" t="s">
        <v>72</v>
      </c>
      <c r="R389" s="79" t="s">
        <v>61</v>
      </c>
      <c r="S389" s="79">
        <v>123456789</v>
      </c>
    </row>
    <row r="390" spans="1:19" x14ac:dyDescent="0.25">
      <c r="A390" s="79">
        <v>12345678</v>
      </c>
      <c r="B390" s="79" t="s">
        <v>845</v>
      </c>
      <c r="C390" s="82" t="s">
        <v>846</v>
      </c>
      <c r="D390" s="79">
        <v>123456</v>
      </c>
      <c r="E390" s="81">
        <v>12334567000189</v>
      </c>
      <c r="F390" s="79" t="s">
        <v>60</v>
      </c>
      <c r="G390" s="79" t="s">
        <v>23</v>
      </c>
      <c r="H390" s="79">
        <v>237.4</v>
      </c>
      <c r="I390" s="79">
        <v>233.54</v>
      </c>
      <c r="J390" s="79">
        <v>3.86</v>
      </c>
      <c r="K390" s="79" t="s">
        <v>25</v>
      </c>
      <c r="L390" s="79" t="s">
        <v>19</v>
      </c>
      <c r="M390" s="79" t="s">
        <v>24</v>
      </c>
      <c r="N390" s="79" t="s">
        <v>20</v>
      </c>
      <c r="O390" s="79"/>
      <c r="P390" s="79">
        <v>3553</v>
      </c>
      <c r="Q390" s="79" t="s">
        <v>21</v>
      </c>
      <c r="R390" s="79" t="s">
        <v>61</v>
      </c>
      <c r="S390" s="79">
        <v>123456789</v>
      </c>
    </row>
    <row r="391" spans="1:19" x14ac:dyDescent="0.25">
      <c r="A391" s="79">
        <v>12345678</v>
      </c>
      <c r="B391" s="79" t="s">
        <v>847</v>
      </c>
      <c r="C391" s="82" t="s">
        <v>848</v>
      </c>
      <c r="D391" s="79">
        <v>123456</v>
      </c>
      <c r="E391" s="81">
        <v>12334567000189</v>
      </c>
      <c r="F391" s="79" t="s">
        <v>60</v>
      </c>
      <c r="G391" s="79" t="s">
        <v>23</v>
      </c>
      <c r="H391" s="79">
        <v>390.41</v>
      </c>
      <c r="I391" s="79">
        <v>384.22</v>
      </c>
      <c r="J391" s="79">
        <v>6.19</v>
      </c>
      <c r="K391" s="79" t="s">
        <v>25</v>
      </c>
      <c r="L391" s="79" t="s">
        <v>19</v>
      </c>
      <c r="M391" s="79" t="s">
        <v>27</v>
      </c>
      <c r="N391" s="79" t="s">
        <v>20</v>
      </c>
      <c r="O391" s="79"/>
      <c r="P391" s="79">
        <v>8317</v>
      </c>
      <c r="Q391" s="79" t="s">
        <v>21</v>
      </c>
      <c r="R391" s="79" t="s">
        <v>61</v>
      </c>
      <c r="S391" s="79">
        <v>123456789</v>
      </c>
    </row>
    <row r="392" spans="1:19" x14ac:dyDescent="0.25">
      <c r="A392" s="79">
        <v>12345678</v>
      </c>
      <c r="B392" s="79" t="s">
        <v>849</v>
      </c>
      <c r="C392" s="82" t="s">
        <v>850</v>
      </c>
      <c r="D392" s="79">
        <v>123456</v>
      </c>
      <c r="E392" s="81">
        <v>12334567000189</v>
      </c>
      <c r="F392" s="79" t="s">
        <v>60</v>
      </c>
      <c r="G392" s="79" t="s">
        <v>23</v>
      </c>
      <c r="H392" s="79">
        <v>39.43</v>
      </c>
      <c r="I392" s="79">
        <v>37.909999999999997</v>
      </c>
      <c r="J392" s="79">
        <v>1.52</v>
      </c>
      <c r="K392" s="79" t="s">
        <v>28</v>
      </c>
      <c r="L392" s="79" t="s">
        <v>19</v>
      </c>
      <c r="M392" s="79" t="s">
        <v>27</v>
      </c>
      <c r="N392" s="79" t="s">
        <v>20</v>
      </c>
      <c r="O392" s="79"/>
      <c r="P392" s="79">
        <v>1325</v>
      </c>
      <c r="Q392" s="79" t="s">
        <v>21</v>
      </c>
      <c r="R392" s="79" t="s">
        <v>61</v>
      </c>
      <c r="S392" s="79">
        <v>123456789</v>
      </c>
    </row>
    <row r="393" spans="1:19" x14ac:dyDescent="0.25">
      <c r="A393" s="79">
        <v>12345678</v>
      </c>
      <c r="B393" s="79" t="s">
        <v>851</v>
      </c>
      <c r="C393" s="82" t="s">
        <v>850</v>
      </c>
      <c r="D393" s="79">
        <v>123456</v>
      </c>
      <c r="E393" s="81">
        <v>12334567000189</v>
      </c>
      <c r="F393" s="79" t="s">
        <v>60</v>
      </c>
      <c r="G393" s="79" t="s">
        <v>23</v>
      </c>
      <c r="H393" s="79">
        <v>266.83</v>
      </c>
      <c r="I393" s="79">
        <v>263.64</v>
      </c>
      <c r="J393" s="79">
        <v>3.19</v>
      </c>
      <c r="K393" s="79" t="s">
        <v>22</v>
      </c>
      <c r="L393" s="79" t="s">
        <v>19</v>
      </c>
      <c r="M393" s="79" t="s">
        <v>19</v>
      </c>
      <c r="N393" s="79" t="s">
        <v>20</v>
      </c>
      <c r="O393" s="79"/>
      <c r="P393" s="79">
        <v>1384</v>
      </c>
      <c r="Q393" s="79" t="s">
        <v>21</v>
      </c>
      <c r="R393" s="79" t="s">
        <v>61</v>
      </c>
      <c r="S393" s="79">
        <v>123456789</v>
      </c>
    </row>
    <row r="394" spans="1:19" x14ac:dyDescent="0.25">
      <c r="A394" s="79">
        <v>12345678</v>
      </c>
      <c r="B394" s="79" t="s">
        <v>852</v>
      </c>
      <c r="C394" s="82" t="s">
        <v>853</v>
      </c>
      <c r="D394" s="79">
        <v>123456</v>
      </c>
      <c r="E394" s="81">
        <v>12334567000189</v>
      </c>
      <c r="F394" s="79" t="s">
        <v>60</v>
      </c>
      <c r="G394" s="79" t="s">
        <v>23</v>
      </c>
      <c r="H394" s="79">
        <v>79.25</v>
      </c>
      <c r="I394" s="79">
        <v>76.510000000000005</v>
      </c>
      <c r="J394" s="79">
        <v>2.74</v>
      </c>
      <c r="K394" s="79" t="s">
        <v>28</v>
      </c>
      <c r="L394" s="79" t="s">
        <v>19</v>
      </c>
      <c r="M394" s="79" t="s">
        <v>24</v>
      </c>
      <c r="N394" s="79" t="s">
        <v>20</v>
      </c>
      <c r="O394" s="79"/>
      <c r="P394" s="79">
        <v>6672</v>
      </c>
      <c r="Q394" s="79" t="s">
        <v>72</v>
      </c>
      <c r="R394" s="79" t="s">
        <v>61</v>
      </c>
      <c r="S394" s="79">
        <v>123456789</v>
      </c>
    </row>
    <row r="395" spans="1:19" x14ac:dyDescent="0.25">
      <c r="A395" s="79">
        <v>12345678</v>
      </c>
      <c r="B395" s="79" t="s">
        <v>854</v>
      </c>
      <c r="C395" s="82" t="s">
        <v>855</v>
      </c>
      <c r="D395" s="79">
        <v>123456</v>
      </c>
      <c r="E395" s="81">
        <v>12334567000189</v>
      </c>
      <c r="F395" s="79" t="s">
        <v>60</v>
      </c>
      <c r="G395" s="79" t="s">
        <v>23</v>
      </c>
      <c r="H395" s="79">
        <v>87.34</v>
      </c>
      <c r="I395" s="79">
        <v>85.49</v>
      </c>
      <c r="J395" s="79">
        <v>1.85</v>
      </c>
      <c r="K395" s="79" t="s">
        <v>25</v>
      </c>
      <c r="L395" s="79" t="s">
        <v>19</v>
      </c>
      <c r="M395" s="79" t="s">
        <v>69</v>
      </c>
      <c r="N395" s="79" t="s">
        <v>20</v>
      </c>
      <c r="O395" s="79"/>
      <c r="P395" s="79">
        <v>2733</v>
      </c>
      <c r="Q395" s="79" t="s">
        <v>21</v>
      </c>
      <c r="R395" s="79" t="s">
        <v>61</v>
      </c>
      <c r="S395" s="79">
        <v>123456789</v>
      </c>
    </row>
    <row r="396" spans="1:19" x14ac:dyDescent="0.25">
      <c r="A396" s="79">
        <v>12345678</v>
      </c>
      <c r="B396" s="79" t="s">
        <v>856</v>
      </c>
      <c r="C396" s="82" t="s">
        <v>857</v>
      </c>
      <c r="D396" s="79">
        <v>123456</v>
      </c>
      <c r="E396" s="81">
        <v>12334567000189</v>
      </c>
      <c r="F396" s="79" t="s">
        <v>60</v>
      </c>
      <c r="G396" s="79" t="s">
        <v>23</v>
      </c>
      <c r="H396" s="79">
        <v>276.22000000000003</v>
      </c>
      <c r="I396" s="79">
        <v>270.33</v>
      </c>
      <c r="J396" s="79">
        <v>5.89</v>
      </c>
      <c r="K396" s="79" t="s">
        <v>25</v>
      </c>
      <c r="L396" s="79" t="s">
        <v>19</v>
      </c>
      <c r="M396" s="79" t="s">
        <v>27</v>
      </c>
      <c r="N396" s="79" t="s">
        <v>20</v>
      </c>
      <c r="O396" s="79"/>
      <c r="P396" s="79">
        <v>4102</v>
      </c>
      <c r="Q396" s="79" t="s">
        <v>21</v>
      </c>
      <c r="R396" s="79" t="s">
        <v>61</v>
      </c>
      <c r="S396" s="79">
        <v>123456789</v>
      </c>
    </row>
    <row r="397" spans="1:19" x14ac:dyDescent="0.25">
      <c r="A397" s="79">
        <v>12345678</v>
      </c>
      <c r="B397" s="79" t="s">
        <v>858</v>
      </c>
      <c r="C397" s="82" t="s">
        <v>859</v>
      </c>
      <c r="D397" s="79">
        <v>123456</v>
      </c>
      <c r="E397" s="81">
        <v>12334567000189</v>
      </c>
      <c r="F397" s="79" t="s">
        <v>60</v>
      </c>
      <c r="G397" s="79" t="s">
        <v>23</v>
      </c>
      <c r="H397" s="79">
        <v>64.239999999999995</v>
      </c>
      <c r="I397" s="79">
        <v>63.22</v>
      </c>
      <c r="J397" s="79">
        <v>1.02</v>
      </c>
      <c r="K397" s="79" t="s">
        <v>25</v>
      </c>
      <c r="L397" s="79" t="s">
        <v>19</v>
      </c>
      <c r="M397" s="79" t="s">
        <v>27</v>
      </c>
      <c r="N397" s="79" t="s">
        <v>20</v>
      </c>
      <c r="O397" s="79"/>
      <c r="P397" s="79">
        <v>2445</v>
      </c>
      <c r="Q397" s="79" t="s">
        <v>21</v>
      </c>
      <c r="R397" s="79" t="s">
        <v>61</v>
      </c>
      <c r="S397" s="79">
        <v>123456789</v>
      </c>
    </row>
    <row r="398" spans="1:19" x14ac:dyDescent="0.25">
      <c r="A398" s="79">
        <v>12345678</v>
      </c>
      <c r="B398" s="79" t="s">
        <v>860</v>
      </c>
      <c r="C398" s="82" t="s">
        <v>861</v>
      </c>
      <c r="D398" s="79">
        <v>123456</v>
      </c>
      <c r="E398" s="81">
        <v>12334567000189</v>
      </c>
      <c r="F398" s="79" t="s">
        <v>60</v>
      </c>
      <c r="G398" s="79" t="s">
        <v>23</v>
      </c>
      <c r="H398" s="79">
        <v>718.85</v>
      </c>
      <c r="I398" s="79">
        <v>690.76</v>
      </c>
      <c r="J398" s="79">
        <v>28.09</v>
      </c>
      <c r="K398" s="79" t="s">
        <v>28</v>
      </c>
      <c r="L398" s="79" t="s">
        <v>19</v>
      </c>
      <c r="M398" s="79" t="s">
        <v>29</v>
      </c>
      <c r="N398" s="79" t="s">
        <v>20</v>
      </c>
      <c r="O398" s="79"/>
      <c r="P398" s="79">
        <v>3284</v>
      </c>
      <c r="Q398" s="79" t="s">
        <v>21</v>
      </c>
      <c r="R398" s="79" t="s">
        <v>61</v>
      </c>
      <c r="S398" s="79">
        <v>123456789</v>
      </c>
    </row>
    <row r="399" spans="1:19" x14ac:dyDescent="0.25">
      <c r="A399" s="79">
        <v>12345678</v>
      </c>
      <c r="B399" s="79" t="s">
        <v>862</v>
      </c>
      <c r="C399" s="82" t="s">
        <v>863</v>
      </c>
      <c r="D399" s="79">
        <v>123456</v>
      </c>
      <c r="E399" s="81">
        <v>12334567000189</v>
      </c>
      <c r="F399" s="79" t="s">
        <v>60</v>
      </c>
      <c r="G399" s="79" t="s">
        <v>23</v>
      </c>
      <c r="H399" s="79">
        <v>389.63</v>
      </c>
      <c r="I399" s="79">
        <v>383.28</v>
      </c>
      <c r="J399" s="79">
        <v>6.35</v>
      </c>
      <c r="K399" s="79" t="s">
        <v>25</v>
      </c>
      <c r="L399" s="79" t="s">
        <v>19</v>
      </c>
      <c r="M399" s="79" t="s">
        <v>24</v>
      </c>
      <c r="N399" s="79" t="s">
        <v>20</v>
      </c>
      <c r="O399" s="79"/>
      <c r="P399" s="79">
        <v>6296</v>
      </c>
      <c r="Q399" s="79" t="s">
        <v>21</v>
      </c>
      <c r="R399" s="79" t="s">
        <v>61</v>
      </c>
      <c r="S399" s="79">
        <v>123456789</v>
      </c>
    </row>
    <row r="400" spans="1:19" x14ac:dyDescent="0.25">
      <c r="A400" s="79">
        <v>12345678</v>
      </c>
      <c r="B400" s="79" t="s">
        <v>864</v>
      </c>
      <c r="C400" s="82" t="s">
        <v>865</v>
      </c>
      <c r="D400" s="79">
        <v>123456</v>
      </c>
      <c r="E400" s="81">
        <v>12334567000189</v>
      </c>
      <c r="F400" s="79" t="s">
        <v>60</v>
      </c>
      <c r="G400" s="79" t="s">
        <v>23</v>
      </c>
      <c r="H400" s="79">
        <v>160.44</v>
      </c>
      <c r="I400" s="79">
        <v>157.63999999999999</v>
      </c>
      <c r="J400" s="79">
        <v>2.8</v>
      </c>
      <c r="K400" s="79" t="s">
        <v>25</v>
      </c>
      <c r="L400" s="79" t="s">
        <v>19</v>
      </c>
      <c r="M400" s="79" t="s">
        <v>27</v>
      </c>
      <c r="N400" s="79" t="s">
        <v>20</v>
      </c>
      <c r="O400" s="79"/>
      <c r="P400" s="79">
        <v>8801</v>
      </c>
      <c r="Q400" s="79" t="s">
        <v>21</v>
      </c>
      <c r="R400" s="79" t="s">
        <v>61</v>
      </c>
      <c r="S400" s="79">
        <v>123456789</v>
      </c>
    </row>
    <row r="401" spans="1:19" x14ac:dyDescent="0.25">
      <c r="A401" s="79">
        <v>12345678</v>
      </c>
      <c r="B401" s="79" t="s">
        <v>866</v>
      </c>
      <c r="C401" s="82" t="s">
        <v>867</v>
      </c>
      <c r="D401" s="79">
        <v>123456</v>
      </c>
      <c r="E401" s="81">
        <v>12334567000189</v>
      </c>
      <c r="F401" s="79" t="s">
        <v>60</v>
      </c>
      <c r="G401" s="79" t="s">
        <v>23</v>
      </c>
      <c r="H401" s="79">
        <v>106.01</v>
      </c>
      <c r="I401" s="79">
        <v>104.45</v>
      </c>
      <c r="J401" s="79">
        <v>1.56</v>
      </c>
      <c r="K401" s="79" t="s">
        <v>25</v>
      </c>
      <c r="L401" s="79" t="s">
        <v>19</v>
      </c>
      <c r="M401" s="79" t="s">
        <v>27</v>
      </c>
      <c r="N401" s="79" t="s">
        <v>20</v>
      </c>
      <c r="O401" s="79"/>
      <c r="P401" s="79">
        <v>3344</v>
      </c>
      <c r="Q401" s="79" t="s">
        <v>21</v>
      </c>
      <c r="R401" s="79" t="s">
        <v>61</v>
      </c>
      <c r="S401" s="79">
        <v>123456789</v>
      </c>
    </row>
    <row r="402" spans="1:19" x14ac:dyDescent="0.25">
      <c r="A402" s="79">
        <v>12345678</v>
      </c>
      <c r="B402" s="79" t="s">
        <v>868</v>
      </c>
      <c r="C402" s="82" t="s">
        <v>869</v>
      </c>
      <c r="D402" s="79">
        <v>123456</v>
      </c>
      <c r="E402" s="81">
        <v>12334567000189</v>
      </c>
      <c r="F402" s="79" t="s">
        <v>60</v>
      </c>
      <c r="G402" s="79" t="s">
        <v>23</v>
      </c>
      <c r="H402" s="79">
        <v>74.77</v>
      </c>
      <c r="I402" s="79">
        <v>72.52</v>
      </c>
      <c r="J402" s="79">
        <v>2.25</v>
      </c>
      <c r="K402" s="79" t="s">
        <v>28</v>
      </c>
      <c r="L402" s="79" t="s">
        <v>19</v>
      </c>
      <c r="M402" s="79" t="s">
        <v>26</v>
      </c>
      <c r="N402" s="79" t="s">
        <v>20</v>
      </c>
      <c r="O402" s="79"/>
      <c r="P402" s="79">
        <v>7904</v>
      </c>
      <c r="Q402" s="79" t="s">
        <v>62</v>
      </c>
      <c r="R402" s="79" t="s">
        <v>61</v>
      </c>
      <c r="S402" s="79">
        <v>123456789</v>
      </c>
    </row>
    <row r="403" spans="1:19" x14ac:dyDescent="0.25">
      <c r="A403" s="79">
        <v>12345678</v>
      </c>
      <c r="B403" s="79" t="s">
        <v>870</v>
      </c>
      <c r="C403" s="82" t="s">
        <v>871</v>
      </c>
      <c r="D403" s="79">
        <v>123456</v>
      </c>
      <c r="E403" s="81">
        <v>12334567000189</v>
      </c>
      <c r="F403" s="79" t="s">
        <v>60</v>
      </c>
      <c r="G403" s="79" t="s">
        <v>23</v>
      </c>
      <c r="H403" s="79">
        <v>388.57</v>
      </c>
      <c r="I403" s="79">
        <v>373.26</v>
      </c>
      <c r="J403" s="79">
        <v>15.31</v>
      </c>
      <c r="K403" s="79" t="s">
        <v>28</v>
      </c>
      <c r="L403" s="79" t="s">
        <v>19</v>
      </c>
      <c r="M403" s="79" t="s">
        <v>89</v>
      </c>
      <c r="N403" s="79" t="s">
        <v>20</v>
      </c>
      <c r="O403" s="79"/>
      <c r="P403" s="79">
        <v>1645</v>
      </c>
      <c r="Q403" s="79" t="s">
        <v>21</v>
      </c>
      <c r="R403" s="79" t="s">
        <v>61</v>
      </c>
      <c r="S403" s="79">
        <v>123456789</v>
      </c>
    </row>
    <row r="404" spans="1:19" x14ac:dyDescent="0.25">
      <c r="A404" s="79">
        <v>12345678</v>
      </c>
      <c r="B404" s="79" t="s">
        <v>872</v>
      </c>
      <c r="C404" s="82" t="s">
        <v>873</v>
      </c>
      <c r="D404" s="79">
        <v>123456</v>
      </c>
      <c r="E404" s="81">
        <v>12334567000189</v>
      </c>
      <c r="F404" s="79" t="s">
        <v>60</v>
      </c>
      <c r="G404" s="79" t="s">
        <v>23</v>
      </c>
      <c r="H404" s="79">
        <v>48.24</v>
      </c>
      <c r="I404" s="79">
        <v>47.59</v>
      </c>
      <c r="J404" s="79">
        <v>0.65</v>
      </c>
      <c r="K404" s="79" t="s">
        <v>25</v>
      </c>
      <c r="L404" s="79" t="s">
        <v>19</v>
      </c>
      <c r="M404" s="79" t="s">
        <v>29</v>
      </c>
      <c r="N404" s="79" t="s">
        <v>20</v>
      </c>
      <c r="O404" s="79"/>
      <c r="P404" s="79">
        <v>1396</v>
      </c>
      <c r="Q404" s="79" t="s">
        <v>21</v>
      </c>
      <c r="R404" s="79" t="s">
        <v>61</v>
      </c>
      <c r="S404" s="79">
        <v>123456789</v>
      </c>
    </row>
    <row r="405" spans="1:19" x14ac:dyDescent="0.25">
      <c r="A405" s="79">
        <v>12345678</v>
      </c>
      <c r="B405" s="79" t="s">
        <v>874</v>
      </c>
      <c r="C405" s="82" t="s">
        <v>875</v>
      </c>
      <c r="D405" s="79">
        <v>123456</v>
      </c>
      <c r="E405" s="81">
        <v>12334567000189</v>
      </c>
      <c r="F405" s="79" t="s">
        <v>60</v>
      </c>
      <c r="G405" s="79" t="s">
        <v>23</v>
      </c>
      <c r="H405" s="79">
        <v>22.29</v>
      </c>
      <c r="I405" s="79">
        <v>21.55</v>
      </c>
      <c r="J405" s="79">
        <v>0.74</v>
      </c>
      <c r="K405" s="79" t="s">
        <v>28</v>
      </c>
      <c r="L405" s="79" t="s">
        <v>19</v>
      </c>
      <c r="M405" s="79" t="s">
        <v>27</v>
      </c>
      <c r="N405" s="79" t="s">
        <v>20</v>
      </c>
      <c r="O405" s="79"/>
      <c r="P405" s="79">
        <v>5610</v>
      </c>
      <c r="Q405" s="79" t="s">
        <v>102</v>
      </c>
      <c r="R405" s="79" t="s">
        <v>61</v>
      </c>
      <c r="S405" s="79">
        <v>123456789</v>
      </c>
    </row>
    <row r="406" spans="1:19" x14ac:dyDescent="0.25">
      <c r="A406" s="79">
        <v>12345678</v>
      </c>
      <c r="B406" s="79" t="s">
        <v>876</v>
      </c>
      <c r="C406" s="82" t="s">
        <v>877</v>
      </c>
      <c r="D406" s="79">
        <v>123456</v>
      </c>
      <c r="E406" s="81">
        <v>12334567000189</v>
      </c>
      <c r="F406" s="79" t="s">
        <v>60</v>
      </c>
      <c r="G406" s="79" t="s">
        <v>23</v>
      </c>
      <c r="H406" s="79">
        <v>252.1</v>
      </c>
      <c r="I406" s="79">
        <v>241.69</v>
      </c>
      <c r="J406" s="79">
        <v>10.41</v>
      </c>
      <c r="K406" s="79" t="s">
        <v>28</v>
      </c>
      <c r="L406" s="79" t="s">
        <v>19</v>
      </c>
      <c r="M406" s="79" t="s">
        <v>26</v>
      </c>
      <c r="N406" s="79" t="s">
        <v>20</v>
      </c>
      <c r="O406" s="79"/>
      <c r="P406" s="79">
        <v>5134</v>
      </c>
      <c r="Q406" s="79" t="s">
        <v>21</v>
      </c>
      <c r="R406" s="79" t="s">
        <v>61</v>
      </c>
      <c r="S406" s="79">
        <v>123456789</v>
      </c>
    </row>
    <row r="407" spans="1:19" x14ac:dyDescent="0.25">
      <c r="A407" s="79">
        <v>12345678</v>
      </c>
      <c r="B407" s="79" t="s">
        <v>878</v>
      </c>
      <c r="C407" s="82" t="s">
        <v>879</v>
      </c>
      <c r="D407" s="79">
        <v>123456</v>
      </c>
      <c r="E407" s="81">
        <v>12334567000189</v>
      </c>
      <c r="F407" s="79" t="s">
        <v>60</v>
      </c>
      <c r="G407" s="79" t="s">
        <v>23</v>
      </c>
      <c r="H407" s="79">
        <v>250.58</v>
      </c>
      <c r="I407" s="79">
        <v>239.83</v>
      </c>
      <c r="J407" s="79">
        <v>10.75</v>
      </c>
      <c r="K407" s="79" t="s">
        <v>28</v>
      </c>
      <c r="L407" s="79" t="s">
        <v>19</v>
      </c>
      <c r="M407" s="79" t="s">
        <v>27</v>
      </c>
      <c r="N407" s="79" t="s">
        <v>20</v>
      </c>
      <c r="O407" s="79"/>
      <c r="P407" s="79">
        <v>4125</v>
      </c>
      <c r="Q407" s="79" t="s">
        <v>21</v>
      </c>
      <c r="R407" s="79" t="s">
        <v>61</v>
      </c>
      <c r="S407" s="79">
        <v>123456789</v>
      </c>
    </row>
    <row r="408" spans="1:19" x14ac:dyDescent="0.25">
      <c r="A408" s="79">
        <v>12345678</v>
      </c>
      <c r="B408" s="79" t="s">
        <v>880</v>
      </c>
      <c r="C408" s="82" t="s">
        <v>881</v>
      </c>
      <c r="D408" s="79">
        <v>123456</v>
      </c>
      <c r="E408" s="81">
        <v>12334567000189</v>
      </c>
      <c r="F408" s="79" t="s">
        <v>60</v>
      </c>
      <c r="G408" s="79" t="s">
        <v>23</v>
      </c>
      <c r="H408" s="79">
        <v>91.19</v>
      </c>
      <c r="I408" s="79">
        <v>90.22</v>
      </c>
      <c r="J408" s="79">
        <v>0.97</v>
      </c>
      <c r="K408" s="79" t="s">
        <v>22</v>
      </c>
      <c r="L408" s="79" t="s">
        <v>19</v>
      </c>
      <c r="M408" s="79" t="s">
        <v>19</v>
      </c>
      <c r="N408" s="79" t="s">
        <v>20</v>
      </c>
      <c r="O408" s="79"/>
      <c r="P408" s="79">
        <v>3511</v>
      </c>
      <c r="Q408" s="79" t="s">
        <v>21</v>
      </c>
      <c r="R408" s="79" t="s">
        <v>61</v>
      </c>
      <c r="S408" s="79">
        <v>123456789</v>
      </c>
    </row>
    <row r="409" spans="1:19" x14ac:dyDescent="0.25">
      <c r="A409" s="79">
        <v>12345678</v>
      </c>
      <c r="B409" s="79" t="s">
        <v>882</v>
      </c>
      <c r="C409" s="82" t="s">
        <v>883</v>
      </c>
      <c r="D409" s="79">
        <v>123456</v>
      </c>
      <c r="E409" s="81">
        <v>12334567000189</v>
      </c>
      <c r="F409" s="79" t="s">
        <v>60</v>
      </c>
      <c r="G409" s="79" t="s">
        <v>23</v>
      </c>
      <c r="H409" s="79">
        <v>20.78</v>
      </c>
      <c r="I409" s="79">
        <v>20.02</v>
      </c>
      <c r="J409" s="79">
        <v>0.76</v>
      </c>
      <c r="K409" s="79" t="s">
        <v>28</v>
      </c>
      <c r="L409" s="79" t="s">
        <v>19</v>
      </c>
      <c r="M409" s="79" t="s">
        <v>24</v>
      </c>
      <c r="N409" s="79" t="s">
        <v>20</v>
      </c>
      <c r="O409" s="79"/>
      <c r="P409" s="79">
        <v>6964</v>
      </c>
      <c r="Q409" s="79" t="s">
        <v>21</v>
      </c>
      <c r="R409" s="79" t="s">
        <v>61</v>
      </c>
      <c r="S409" s="79">
        <v>123456789</v>
      </c>
    </row>
    <row r="410" spans="1:19" x14ac:dyDescent="0.25">
      <c r="A410" s="79">
        <v>12345678</v>
      </c>
      <c r="B410" s="79" t="s">
        <v>884</v>
      </c>
      <c r="C410" s="82" t="s">
        <v>885</v>
      </c>
      <c r="D410" s="79">
        <v>123456</v>
      </c>
      <c r="E410" s="81">
        <v>12334567000189</v>
      </c>
      <c r="F410" s="79" t="s">
        <v>60</v>
      </c>
      <c r="G410" s="79" t="s">
        <v>23</v>
      </c>
      <c r="H410" s="79">
        <v>626.75</v>
      </c>
      <c r="I410" s="79">
        <v>604.44000000000005</v>
      </c>
      <c r="J410" s="79">
        <v>22.31</v>
      </c>
      <c r="K410" s="79" t="s">
        <v>28</v>
      </c>
      <c r="L410" s="79" t="s">
        <v>19</v>
      </c>
      <c r="M410" s="79" t="s">
        <v>26</v>
      </c>
      <c r="N410" s="79" t="s">
        <v>20</v>
      </c>
      <c r="O410" s="79"/>
      <c r="P410" s="79">
        <v>3376</v>
      </c>
      <c r="Q410" s="79" t="s">
        <v>62</v>
      </c>
      <c r="R410" s="79" t="s">
        <v>61</v>
      </c>
      <c r="S410" s="79">
        <v>123456789</v>
      </c>
    </row>
    <row r="411" spans="1:19" x14ac:dyDescent="0.25">
      <c r="A411" s="79">
        <v>12345678</v>
      </c>
      <c r="B411" s="79" t="s">
        <v>886</v>
      </c>
      <c r="C411" s="82" t="s">
        <v>887</v>
      </c>
      <c r="D411" s="79">
        <v>123456</v>
      </c>
      <c r="E411" s="81">
        <v>12334567000189</v>
      </c>
      <c r="F411" s="79" t="s">
        <v>60</v>
      </c>
      <c r="G411" s="79" t="s">
        <v>23</v>
      </c>
      <c r="H411" s="79">
        <v>395.66</v>
      </c>
      <c r="I411" s="79">
        <v>387.67</v>
      </c>
      <c r="J411" s="79">
        <v>7.99</v>
      </c>
      <c r="K411" s="79" t="s">
        <v>25</v>
      </c>
      <c r="L411" s="79" t="s">
        <v>19</v>
      </c>
      <c r="M411" s="79" t="s">
        <v>27</v>
      </c>
      <c r="N411" s="79" t="s">
        <v>20</v>
      </c>
      <c r="O411" s="79"/>
      <c r="P411" s="79">
        <v>6752</v>
      </c>
      <c r="Q411" s="79" t="s">
        <v>21</v>
      </c>
      <c r="R411" s="79" t="s">
        <v>61</v>
      </c>
      <c r="S411" s="79">
        <v>123456789</v>
      </c>
    </row>
    <row r="412" spans="1:19" x14ac:dyDescent="0.25">
      <c r="A412" s="79">
        <v>12345678</v>
      </c>
      <c r="B412" s="79" t="s">
        <v>888</v>
      </c>
      <c r="C412" s="82" t="s">
        <v>889</v>
      </c>
      <c r="D412" s="79">
        <v>123456</v>
      </c>
      <c r="E412" s="81">
        <v>12334567000189</v>
      </c>
      <c r="F412" s="79" t="s">
        <v>60</v>
      </c>
      <c r="G412" s="79" t="s">
        <v>23</v>
      </c>
      <c r="H412" s="79">
        <v>1035.49</v>
      </c>
      <c r="I412" s="79">
        <v>1016.03</v>
      </c>
      <c r="J412" s="79">
        <v>19.46</v>
      </c>
      <c r="K412" s="79" t="s">
        <v>25</v>
      </c>
      <c r="L412" s="79" t="s">
        <v>19</v>
      </c>
      <c r="M412" s="79" t="s">
        <v>27</v>
      </c>
      <c r="N412" s="79" t="s">
        <v>20</v>
      </c>
      <c r="O412" s="79"/>
      <c r="P412" s="79">
        <v>7912</v>
      </c>
      <c r="Q412" s="79" t="s">
        <v>21</v>
      </c>
      <c r="R412" s="79" t="s">
        <v>61</v>
      </c>
      <c r="S412" s="79">
        <v>123456789</v>
      </c>
    </row>
    <row r="413" spans="1:19" x14ac:dyDescent="0.25">
      <c r="A413" s="79">
        <v>12345678</v>
      </c>
      <c r="B413" s="79" t="s">
        <v>890</v>
      </c>
      <c r="C413" s="82" t="s">
        <v>891</v>
      </c>
      <c r="D413" s="79">
        <v>123456</v>
      </c>
      <c r="E413" s="81">
        <v>12334567000189</v>
      </c>
      <c r="F413" s="79" t="s">
        <v>60</v>
      </c>
      <c r="G413" s="79" t="s">
        <v>23</v>
      </c>
      <c r="H413" s="79">
        <v>183.29</v>
      </c>
      <c r="I413" s="79">
        <v>181.57</v>
      </c>
      <c r="J413" s="79">
        <v>1.72</v>
      </c>
      <c r="K413" s="79" t="s">
        <v>22</v>
      </c>
      <c r="L413" s="79" t="s">
        <v>19</v>
      </c>
      <c r="M413" s="79" t="s">
        <v>19</v>
      </c>
      <c r="N413" s="79" t="s">
        <v>20</v>
      </c>
      <c r="O413" s="79"/>
      <c r="P413" s="79">
        <v>2422</v>
      </c>
      <c r="Q413" s="79" t="s">
        <v>21</v>
      </c>
      <c r="R413" s="79" t="s">
        <v>61</v>
      </c>
      <c r="S413" s="79">
        <v>123456789</v>
      </c>
    </row>
    <row r="414" spans="1:19" x14ac:dyDescent="0.25">
      <c r="A414" s="79">
        <v>12345678</v>
      </c>
      <c r="B414" s="79" t="s">
        <v>892</v>
      </c>
      <c r="C414" s="82" t="s">
        <v>893</v>
      </c>
      <c r="D414" s="79">
        <v>123456</v>
      </c>
      <c r="E414" s="81">
        <v>12334567000189</v>
      </c>
      <c r="F414" s="79" t="s">
        <v>60</v>
      </c>
      <c r="G414" s="79" t="s">
        <v>23</v>
      </c>
      <c r="H414" s="79">
        <v>220.04</v>
      </c>
      <c r="I414" s="79">
        <v>211.08</v>
      </c>
      <c r="J414" s="79">
        <v>8.9600000000000009</v>
      </c>
      <c r="K414" s="79" t="s">
        <v>28</v>
      </c>
      <c r="L414" s="79" t="s">
        <v>19</v>
      </c>
      <c r="M414" s="79" t="s">
        <v>29</v>
      </c>
      <c r="N414" s="79" t="s">
        <v>20</v>
      </c>
      <c r="O414" s="79"/>
      <c r="P414" s="79">
        <v>9046</v>
      </c>
      <c r="Q414" s="79" t="s">
        <v>21</v>
      </c>
      <c r="R414" s="79" t="s">
        <v>61</v>
      </c>
      <c r="S414" s="79">
        <v>123456789</v>
      </c>
    </row>
    <row r="415" spans="1:19" x14ac:dyDescent="0.25">
      <c r="A415" s="79">
        <v>12345678</v>
      </c>
      <c r="B415" s="79" t="s">
        <v>894</v>
      </c>
      <c r="C415" s="82" t="s">
        <v>895</v>
      </c>
      <c r="D415" s="79">
        <v>123456</v>
      </c>
      <c r="E415" s="81">
        <v>12334567000189</v>
      </c>
      <c r="F415" s="79" t="s">
        <v>60</v>
      </c>
      <c r="G415" s="79" t="s">
        <v>23</v>
      </c>
      <c r="H415" s="79">
        <v>323.89</v>
      </c>
      <c r="I415" s="79">
        <v>311.25</v>
      </c>
      <c r="J415" s="79">
        <v>12.64</v>
      </c>
      <c r="K415" s="79" t="s">
        <v>28</v>
      </c>
      <c r="L415" s="79" t="s">
        <v>19</v>
      </c>
      <c r="M415" s="79" t="s">
        <v>24</v>
      </c>
      <c r="N415" s="79" t="s">
        <v>20</v>
      </c>
      <c r="O415" s="79"/>
      <c r="P415" s="79">
        <v>7007</v>
      </c>
      <c r="Q415" s="79" t="s">
        <v>21</v>
      </c>
      <c r="R415" s="79" t="s">
        <v>61</v>
      </c>
      <c r="S415" s="79">
        <v>123456789</v>
      </c>
    </row>
    <row r="416" spans="1:19" x14ac:dyDescent="0.25">
      <c r="A416" s="79">
        <v>12345678</v>
      </c>
      <c r="B416" s="79" t="s">
        <v>896</v>
      </c>
      <c r="C416" s="82" t="s">
        <v>897</v>
      </c>
      <c r="D416" s="79">
        <v>123456</v>
      </c>
      <c r="E416" s="81">
        <v>12334567000189</v>
      </c>
      <c r="F416" s="79" t="s">
        <v>60</v>
      </c>
      <c r="G416" s="79" t="s">
        <v>23</v>
      </c>
      <c r="H416" s="79">
        <v>270.33</v>
      </c>
      <c r="I416" s="79">
        <v>265.92</v>
      </c>
      <c r="J416" s="79">
        <v>4.41</v>
      </c>
      <c r="K416" s="79" t="s">
        <v>25</v>
      </c>
      <c r="L416" s="79" t="s">
        <v>19</v>
      </c>
      <c r="M416" s="79" t="s">
        <v>89</v>
      </c>
      <c r="N416" s="79" t="s">
        <v>20</v>
      </c>
      <c r="O416" s="79"/>
      <c r="P416" s="79">
        <v>7770</v>
      </c>
      <c r="Q416" s="79" t="s">
        <v>21</v>
      </c>
      <c r="R416" s="79" t="s">
        <v>61</v>
      </c>
      <c r="S416" s="79">
        <v>123456789</v>
      </c>
    </row>
    <row r="417" spans="1:19" x14ac:dyDescent="0.25">
      <c r="A417" s="79">
        <v>12345678</v>
      </c>
      <c r="B417" s="79" t="s">
        <v>898</v>
      </c>
      <c r="C417" s="82" t="s">
        <v>899</v>
      </c>
      <c r="D417" s="79">
        <v>123456</v>
      </c>
      <c r="E417" s="81">
        <v>12334567000189</v>
      </c>
      <c r="F417" s="79" t="s">
        <v>60</v>
      </c>
      <c r="G417" s="79" t="s">
        <v>23</v>
      </c>
      <c r="H417" s="79">
        <v>97.1</v>
      </c>
      <c r="I417" s="79">
        <v>93.1</v>
      </c>
      <c r="J417" s="79">
        <v>4</v>
      </c>
      <c r="K417" s="79" t="s">
        <v>28</v>
      </c>
      <c r="L417" s="79" t="s">
        <v>19</v>
      </c>
      <c r="M417" s="79" t="s">
        <v>24</v>
      </c>
      <c r="N417" s="79" t="s">
        <v>20</v>
      </c>
      <c r="O417" s="79"/>
      <c r="P417" s="79">
        <v>9411</v>
      </c>
      <c r="Q417" s="79" t="s">
        <v>21</v>
      </c>
      <c r="R417" s="79" t="s">
        <v>61</v>
      </c>
      <c r="S417" s="79">
        <v>123456789</v>
      </c>
    </row>
    <row r="418" spans="1:19" x14ac:dyDescent="0.25">
      <c r="A418" s="79">
        <v>12345678</v>
      </c>
      <c r="B418" s="79" t="s">
        <v>900</v>
      </c>
      <c r="C418" s="82" t="s">
        <v>901</v>
      </c>
      <c r="D418" s="79">
        <v>123456</v>
      </c>
      <c r="E418" s="81">
        <v>12334567000189</v>
      </c>
      <c r="F418" s="79" t="s">
        <v>60</v>
      </c>
      <c r="G418" s="79" t="s">
        <v>23</v>
      </c>
      <c r="H418" s="79">
        <v>191.81</v>
      </c>
      <c r="I418" s="79">
        <v>189.96</v>
      </c>
      <c r="J418" s="79">
        <v>1.85</v>
      </c>
      <c r="K418" s="79" t="s">
        <v>22</v>
      </c>
      <c r="L418" s="79" t="s">
        <v>19</v>
      </c>
      <c r="M418" s="79" t="s">
        <v>19</v>
      </c>
      <c r="N418" s="79" t="s">
        <v>20</v>
      </c>
      <c r="O418" s="79"/>
      <c r="P418" s="79">
        <v>2229</v>
      </c>
      <c r="Q418" s="79" t="s">
        <v>21</v>
      </c>
      <c r="R418" s="79" t="s">
        <v>61</v>
      </c>
      <c r="S418" s="79">
        <v>123456789</v>
      </c>
    </row>
    <row r="419" spans="1:19" x14ac:dyDescent="0.25">
      <c r="A419" s="79">
        <v>12345678</v>
      </c>
      <c r="B419" s="79" t="s">
        <v>902</v>
      </c>
      <c r="C419" s="82" t="s">
        <v>903</v>
      </c>
      <c r="D419" s="79">
        <v>123456</v>
      </c>
      <c r="E419" s="81">
        <v>12334567000189</v>
      </c>
      <c r="F419" s="79" t="s">
        <v>60</v>
      </c>
      <c r="G419" s="79" t="s">
        <v>23</v>
      </c>
      <c r="H419" s="79">
        <v>34.6</v>
      </c>
      <c r="I419" s="79">
        <v>33.1</v>
      </c>
      <c r="J419" s="79">
        <v>1.5</v>
      </c>
      <c r="K419" s="79" t="s">
        <v>28</v>
      </c>
      <c r="L419" s="79" t="s">
        <v>19</v>
      </c>
      <c r="M419" s="79" t="s">
        <v>27</v>
      </c>
      <c r="N419" s="79" t="s">
        <v>20</v>
      </c>
      <c r="O419" s="79"/>
      <c r="P419" s="79">
        <v>2031</v>
      </c>
      <c r="Q419" s="79" t="s">
        <v>62</v>
      </c>
      <c r="R419" s="79" t="s">
        <v>61</v>
      </c>
      <c r="S419" s="79">
        <v>123456789</v>
      </c>
    </row>
    <row r="420" spans="1:19" x14ac:dyDescent="0.25">
      <c r="A420" s="79">
        <v>12345678</v>
      </c>
      <c r="B420" s="79" t="s">
        <v>904</v>
      </c>
      <c r="C420" s="82" t="s">
        <v>905</v>
      </c>
      <c r="D420" s="79">
        <v>123456</v>
      </c>
      <c r="E420" s="81">
        <v>12334567000189</v>
      </c>
      <c r="F420" s="79" t="s">
        <v>60</v>
      </c>
      <c r="G420" s="79" t="s">
        <v>23</v>
      </c>
      <c r="H420" s="79">
        <v>93.79</v>
      </c>
      <c r="I420" s="79">
        <v>90.25</v>
      </c>
      <c r="J420" s="79">
        <v>3.54</v>
      </c>
      <c r="K420" s="79" t="s">
        <v>28</v>
      </c>
      <c r="L420" s="79" t="s">
        <v>19</v>
      </c>
      <c r="M420" s="79" t="s">
        <v>26</v>
      </c>
      <c r="N420" s="79" t="s">
        <v>20</v>
      </c>
      <c r="O420" s="79"/>
      <c r="P420" s="79">
        <v>5775</v>
      </c>
      <c r="Q420" s="79" t="s">
        <v>102</v>
      </c>
      <c r="R420" s="79" t="s">
        <v>61</v>
      </c>
      <c r="S420" s="79">
        <v>123456789</v>
      </c>
    </row>
    <row r="421" spans="1:19" x14ac:dyDescent="0.25">
      <c r="A421" s="79">
        <v>12345678</v>
      </c>
      <c r="B421" s="79" t="s">
        <v>906</v>
      </c>
      <c r="C421" s="82" t="s">
        <v>907</v>
      </c>
      <c r="D421" s="79">
        <v>123456</v>
      </c>
      <c r="E421" s="81">
        <v>12334567000189</v>
      </c>
      <c r="F421" s="79" t="s">
        <v>60</v>
      </c>
      <c r="G421" s="79" t="s">
        <v>23</v>
      </c>
      <c r="H421" s="79">
        <v>250.81</v>
      </c>
      <c r="I421" s="79">
        <v>247.14</v>
      </c>
      <c r="J421" s="79">
        <v>3.67</v>
      </c>
      <c r="K421" s="79" t="s">
        <v>25</v>
      </c>
      <c r="L421" s="79" t="s">
        <v>19</v>
      </c>
      <c r="M421" s="79" t="s">
        <v>69</v>
      </c>
      <c r="N421" s="79" t="s">
        <v>20</v>
      </c>
      <c r="O421" s="79"/>
      <c r="P421" s="79">
        <v>9020</v>
      </c>
      <c r="Q421" s="79" t="s">
        <v>21</v>
      </c>
      <c r="R421" s="79" t="s">
        <v>61</v>
      </c>
      <c r="S421" s="79">
        <v>123456789</v>
      </c>
    </row>
    <row r="422" spans="1:19" x14ac:dyDescent="0.25">
      <c r="A422" s="79">
        <v>12345678</v>
      </c>
      <c r="B422" s="79" t="s">
        <v>908</v>
      </c>
      <c r="C422" s="82" t="s">
        <v>909</v>
      </c>
      <c r="D422" s="79">
        <v>123456</v>
      </c>
      <c r="E422" s="81">
        <v>12334567000189</v>
      </c>
      <c r="F422" s="79" t="s">
        <v>60</v>
      </c>
      <c r="G422" s="79" t="s">
        <v>23</v>
      </c>
      <c r="H422" s="79">
        <v>44.64</v>
      </c>
      <c r="I422" s="79">
        <v>43.99</v>
      </c>
      <c r="J422" s="79">
        <v>0.65</v>
      </c>
      <c r="K422" s="79" t="s">
        <v>25</v>
      </c>
      <c r="L422" s="79" t="s">
        <v>19</v>
      </c>
      <c r="M422" s="79" t="s">
        <v>26</v>
      </c>
      <c r="N422" s="79" t="s">
        <v>20</v>
      </c>
      <c r="O422" s="79"/>
      <c r="P422" s="79">
        <v>1376</v>
      </c>
      <c r="Q422" s="79" t="s">
        <v>21</v>
      </c>
      <c r="R422" s="79" t="s">
        <v>61</v>
      </c>
      <c r="S422" s="79">
        <v>123456789</v>
      </c>
    </row>
    <row r="423" spans="1:19" x14ac:dyDescent="0.25">
      <c r="A423" s="79">
        <v>12345678</v>
      </c>
      <c r="B423" s="79" t="s">
        <v>910</v>
      </c>
      <c r="C423" s="82" t="s">
        <v>911</v>
      </c>
      <c r="D423" s="79">
        <v>123456</v>
      </c>
      <c r="E423" s="81">
        <v>12334567000189</v>
      </c>
      <c r="F423" s="79" t="s">
        <v>60</v>
      </c>
      <c r="G423" s="79" t="s">
        <v>23</v>
      </c>
      <c r="H423" s="79">
        <v>243.66</v>
      </c>
      <c r="I423" s="79">
        <v>238.68</v>
      </c>
      <c r="J423" s="79">
        <v>4.9800000000000004</v>
      </c>
      <c r="K423" s="79" t="s">
        <v>25</v>
      </c>
      <c r="L423" s="79" t="s">
        <v>19</v>
      </c>
      <c r="M423" s="79" t="s">
        <v>27</v>
      </c>
      <c r="N423" s="79" t="s">
        <v>20</v>
      </c>
      <c r="O423" s="79"/>
      <c r="P423" s="79">
        <v>8276</v>
      </c>
      <c r="Q423" s="79" t="s">
        <v>21</v>
      </c>
      <c r="R423" s="79" t="s">
        <v>61</v>
      </c>
      <c r="S423" s="79">
        <v>123456789</v>
      </c>
    </row>
    <row r="424" spans="1:19" x14ac:dyDescent="0.25">
      <c r="A424" s="79">
        <v>12345678</v>
      </c>
      <c r="B424" s="79" t="s">
        <v>912</v>
      </c>
      <c r="C424" s="82" t="s">
        <v>913</v>
      </c>
      <c r="D424" s="79">
        <v>123456</v>
      </c>
      <c r="E424" s="81">
        <v>12334567000189</v>
      </c>
      <c r="F424" s="79" t="s">
        <v>60</v>
      </c>
      <c r="G424" s="79" t="s">
        <v>23</v>
      </c>
      <c r="H424" s="79">
        <v>188.37</v>
      </c>
      <c r="I424" s="79">
        <v>181.64</v>
      </c>
      <c r="J424" s="79">
        <v>6.73</v>
      </c>
      <c r="K424" s="79" t="s">
        <v>28</v>
      </c>
      <c r="L424" s="79" t="s">
        <v>19</v>
      </c>
      <c r="M424" s="79" t="s">
        <v>89</v>
      </c>
      <c r="N424" s="79" t="s">
        <v>20</v>
      </c>
      <c r="O424" s="79"/>
      <c r="P424" s="79">
        <v>4998</v>
      </c>
      <c r="Q424" s="79" t="s">
        <v>62</v>
      </c>
      <c r="R424" s="79" t="s">
        <v>61</v>
      </c>
      <c r="S424" s="79">
        <v>123456789</v>
      </c>
    </row>
    <row r="425" spans="1:19" x14ac:dyDescent="0.25">
      <c r="A425" s="79">
        <v>12345678</v>
      </c>
      <c r="B425" s="79" t="s">
        <v>914</v>
      </c>
      <c r="C425" s="82" t="s">
        <v>915</v>
      </c>
      <c r="D425" s="79">
        <v>123456</v>
      </c>
      <c r="E425" s="81">
        <v>12334567000189</v>
      </c>
      <c r="F425" s="79" t="s">
        <v>60</v>
      </c>
      <c r="G425" s="79" t="s">
        <v>23</v>
      </c>
      <c r="H425" s="79">
        <v>16.350000000000001</v>
      </c>
      <c r="I425" s="79">
        <v>16.05</v>
      </c>
      <c r="J425" s="79">
        <v>0.3</v>
      </c>
      <c r="K425" s="79" t="s">
        <v>25</v>
      </c>
      <c r="L425" s="79" t="s">
        <v>19</v>
      </c>
      <c r="M425" s="79" t="s">
        <v>26</v>
      </c>
      <c r="N425" s="79" t="s">
        <v>20</v>
      </c>
      <c r="O425" s="79"/>
      <c r="P425" s="79">
        <v>2298</v>
      </c>
      <c r="Q425" s="79" t="s">
        <v>21</v>
      </c>
      <c r="R425" s="79" t="s">
        <v>61</v>
      </c>
      <c r="S425" s="79">
        <v>123456789</v>
      </c>
    </row>
    <row r="426" spans="1:19" x14ac:dyDescent="0.25">
      <c r="A426" s="79">
        <v>12345678</v>
      </c>
      <c r="B426" s="79" t="s">
        <v>916</v>
      </c>
      <c r="C426" s="82" t="s">
        <v>917</v>
      </c>
      <c r="D426" s="79">
        <v>123456</v>
      </c>
      <c r="E426" s="81">
        <v>12334567000189</v>
      </c>
      <c r="F426" s="79" t="s">
        <v>60</v>
      </c>
      <c r="G426" s="79" t="s">
        <v>23</v>
      </c>
      <c r="H426" s="79">
        <v>51.07</v>
      </c>
      <c r="I426" s="79">
        <v>49.2</v>
      </c>
      <c r="J426" s="79">
        <v>1.87</v>
      </c>
      <c r="K426" s="79" t="s">
        <v>28</v>
      </c>
      <c r="L426" s="79" t="s">
        <v>19</v>
      </c>
      <c r="M426" s="79" t="s">
        <v>27</v>
      </c>
      <c r="N426" s="79" t="s">
        <v>20</v>
      </c>
      <c r="O426" s="79"/>
      <c r="P426" s="79">
        <v>3931</v>
      </c>
      <c r="Q426" s="79" t="s">
        <v>21</v>
      </c>
      <c r="R426" s="79" t="s">
        <v>61</v>
      </c>
      <c r="S426" s="79">
        <v>123456789</v>
      </c>
    </row>
    <row r="427" spans="1:19" x14ac:dyDescent="0.25">
      <c r="A427" s="79">
        <v>12345678</v>
      </c>
      <c r="B427" s="79" t="s">
        <v>918</v>
      </c>
      <c r="C427" s="82" t="s">
        <v>919</v>
      </c>
      <c r="D427" s="79">
        <v>123456</v>
      </c>
      <c r="E427" s="81">
        <v>12334567000189</v>
      </c>
      <c r="F427" s="79" t="s">
        <v>60</v>
      </c>
      <c r="G427" s="79" t="s">
        <v>23</v>
      </c>
      <c r="H427" s="79">
        <v>12.54</v>
      </c>
      <c r="I427" s="79">
        <v>12</v>
      </c>
      <c r="J427" s="79">
        <v>0.54</v>
      </c>
      <c r="K427" s="79" t="s">
        <v>28</v>
      </c>
      <c r="L427" s="79" t="s">
        <v>19</v>
      </c>
      <c r="M427" s="79" t="s">
        <v>26</v>
      </c>
      <c r="N427" s="79" t="s">
        <v>20</v>
      </c>
      <c r="O427" s="79"/>
      <c r="P427" s="79">
        <v>9871</v>
      </c>
      <c r="Q427" s="79" t="s">
        <v>21</v>
      </c>
      <c r="R427" s="79" t="s">
        <v>61</v>
      </c>
      <c r="S427" s="79">
        <v>123456789</v>
      </c>
    </row>
    <row r="428" spans="1:19" x14ac:dyDescent="0.25">
      <c r="A428" s="79">
        <v>12345678</v>
      </c>
      <c r="B428" s="79" t="s">
        <v>920</v>
      </c>
      <c r="C428" s="82" t="s">
        <v>921</v>
      </c>
      <c r="D428" s="79">
        <v>123456</v>
      </c>
      <c r="E428" s="81">
        <v>12334567000189</v>
      </c>
      <c r="F428" s="79" t="s">
        <v>60</v>
      </c>
      <c r="G428" s="79" t="s">
        <v>23</v>
      </c>
      <c r="H428" s="79">
        <v>197.73</v>
      </c>
      <c r="I428" s="79">
        <v>194.23</v>
      </c>
      <c r="J428" s="79">
        <v>3.5</v>
      </c>
      <c r="K428" s="79" t="s">
        <v>25</v>
      </c>
      <c r="L428" s="79" t="s">
        <v>19</v>
      </c>
      <c r="M428" s="79" t="s">
        <v>89</v>
      </c>
      <c r="N428" s="79" t="s">
        <v>20</v>
      </c>
      <c r="O428" s="79"/>
      <c r="P428" s="79">
        <v>3291</v>
      </c>
      <c r="Q428" s="79" t="s">
        <v>21</v>
      </c>
      <c r="R428" s="79" t="s">
        <v>61</v>
      </c>
      <c r="S428" s="79">
        <v>123456789</v>
      </c>
    </row>
    <row r="429" spans="1:19" x14ac:dyDescent="0.25">
      <c r="A429" s="79">
        <v>12345678</v>
      </c>
      <c r="B429" s="79" t="s">
        <v>922</v>
      </c>
      <c r="C429" s="82" t="s">
        <v>923</v>
      </c>
      <c r="D429" s="79">
        <v>123456</v>
      </c>
      <c r="E429" s="81">
        <v>12334567000189</v>
      </c>
      <c r="F429" s="79" t="s">
        <v>60</v>
      </c>
      <c r="G429" s="79" t="s">
        <v>23</v>
      </c>
      <c r="H429" s="79">
        <v>14.75</v>
      </c>
      <c r="I429" s="79">
        <v>14.53</v>
      </c>
      <c r="J429" s="79">
        <v>0.22</v>
      </c>
      <c r="K429" s="79" t="s">
        <v>25</v>
      </c>
      <c r="L429" s="79" t="s">
        <v>19</v>
      </c>
      <c r="M429" s="79" t="s">
        <v>24</v>
      </c>
      <c r="N429" s="79" t="s">
        <v>20</v>
      </c>
      <c r="O429" s="79"/>
      <c r="P429" s="79">
        <v>6430</v>
      </c>
      <c r="Q429" s="79" t="s">
        <v>21</v>
      </c>
      <c r="R429" s="79" t="s">
        <v>61</v>
      </c>
      <c r="S429" s="79">
        <v>123456789</v>
      </c>
    </row>
    <row r="430" spans="1:19" x14ac:dyDescent="0.25">
      <c r="A430" s="79">
        <v>12345678</v>
      </c>
      <c r="B430" s="79" t="s">
        <v>924</v>
      </c>
      <c r="C430" s="82" t="s">
        <v>925</v>
      </c>
      <c r="D430" s="79">
        <v>123456</v>
      </c>
      <c r="E430" s="81">
        <v>12334567000189</v>
      </c>
      <c r="F430" s="79" t="s">
        <v>60</v>
      </c>
      <c r="G430" s="79" t="s">
        <v>23</v>
      </c>
      <c r="H430" s="79">
        <v>297.70999999999998</v>
      </c>
      <c r="I430" s="79">
        <v>288.13</v>
      </c>
      <c r="J430" s="79">
        <v>9.58</v>
      </c>
      <c r="K430" s="79" t="s">
        <v>28</v>
      </c>
      <c r="L430" s="79" t="s">
        <v>19</v>
      </c>
      <c r="M430" s="79" t="s">
        <v>69</v>
      </c>
      <c r="N430" s="79" t="s">
        <v>20</v>
      </c>
      <c r="O430" s="79"/>
      <c r="P430" s="79">
        <v>8206</v>
      </c>
      <c r="Q430" s="79" t="s">
        <v>21</v>
      </c>
      <c r="R430" s="79" t="s">
        <v>61</v>
      </c>
      <c r="S430" s="79">
        <v>123456789</v>
      </c>
    </row>
    <row r="431" spans="1:19" x14ac:dyDescent="0.25">
      <c r="A431" s="79">
        <v>12345678</v>
      </c>
      <c r="B431" s="79" t="s">
        <v>926</v>
      </c>
      <c r="C431" s="82" t="s">
        <v>927</v>
      </c>
      <c r="D431" s="79">
        <v>123456</v>
      </c>
      <c r="E431" s="81">
        <v>12334567000189</v>
      </c>
      <c r="F431" s="79" t="s">
        <v>60</v>
      </c>
      <c r="G431" s="79" t="s">
        <v>23</v>
      </c>
      <c r="H431" s="79">
        <v>231.01</v>
      </c>
      <c r="I431" s="79">
        <v>227.6</v>
      </c>
      <c r="J431" s="79">
        <v>3.41</v>
      </c>
      <c r="K431" s="79" t="s">
        <v>25</v>
      </c>
      <c r="L431" s="79" t="s">
        <v>19</v>
      </c>
      <c r="M431" s="79" t="s">
        <v>89</v>
      </c>
      <c r="N431" s="79" t="s">
        <v>20</v>
      </c>
      <c r="O431" s="79"/>
      <c r="P431" s="79">
        <v>8530</v>
      </c>
      <c r="Q431" s="79" t="s">
        <v>21</v>
      </c>
      <c r="R431" s="79" t="s">
        <v>61</v>
      </c>
      <c r="S431" s="79">
        <v>123456789</v>
      </c>
    </row>
    <row r="432" spans="1:19" x14ac:dyDescent="0.25">
      <c r="A432" s="79">
        <v>12345678</v>
      </c>
      <c r="B432" s="79" t="s">
        <v>928</v>
      </c>
      <c r="C432" s="82" t="s">
        <v>929</v>
      </c>
      <c r="D432" s="79">
        <v>123456</v>
      </c>
      <c r="E432" s="81">
        <v>12334567000189</v>
      </c>
      <c r="F432" s="79" t="s">
        <v>60</v>
      </c>
      <c r="G432" s="79" t="s">
        <v>23</v>
      </c>
      <c r="H432" s="79">
        <v>117.91</v>
      </c>
      <c r="I432" s="79">
        <v>115.88</v>
      </c>
      <c r="J432" s="79">
        <v>2.0299999999999998</v>
      </c>
      <c r="K432" s="79" t="s">
        <v>25</v>
      </c>
      <c r="L432" s="79" t="s">
        <v>19</v>
      </c>
      <c r="M432" s="79" t="s">
        <v>26</v>
      </c>
      <c r="N432" s="79" t="s">
        <v>20</v>
      </c>
      <c r="O432" s="79"/>
      <c r="P432" s="79">
        <v>2744</v>
      </c>
      <c r="Q432" s="79" t="s">
        <v>21</v>
      </c>
      <c r="R432" s="79" t="s">
        <v>61</v>
      </c>
      <c r="S432" s="79">
        <v>123456789</v>
      </c>
    </row>
    <row r="433" spans="1:19" x14ac:dyDescent="0.25">
      <c r="A433" s="79">
        <v>12345678</v>
      </c>
      <c r="B433" s="79" t="s">
        <v>930</v>
      </c>
      <c r="C433" s="82" t="s">
        <v>931</v>
      </c>
      <c r="D433" s="79">
        <v>123456</v>
      </c>
      <c r="E433" s="81">
        <v>12334567000189</v>
      </c>
      <c r="F433" s="79" t="s">
        <v>60</v>
      </c>
      <c r="G433" s="79" t="s">
        <v>23</v>
      </c>
      <c r="H433" s="79">
        <v>431.37</v>
      </c>
      <c r="I433" s="79">
        <v>422.05</v>
      </c>
      <c r="J433" s="79">
        <v>9.32</v>
      </c>
      <c r="K433" s="79" t="s">
        <v>25</v>
      </c>
      <c r="L433" s="79" t="s">
        <v>19</v>
      </c>
      <c r="M433" s="79" t="s">
        <v>24</v>
      </c>
      <c r="N433" s="79" t="s">
        <v>20</v>
      </c>
      <c r="O433" s="79"/>
      <c r="P433" s="79">
        <v>7493</v>
      </c>
      <c r="Q433" s="79" t="s">
        <v>21</v>
      </c>
      <c r="R433" s="79" t="s">
        <v>61</v>
      </c>
      <c r="S433" s="79">
        <v>123456789</v>
      </c>
    </row>
    <row r="434" spans="1:19" x14ac:dyDescent="0.25">
      <c r="A434" s="79">
        <v>12345678</v>
      </c>
      <c r="B434" s="79" t="s">
        <v>932</v>
      </c>
      <c r="C434" s="82" t="s">
        <v>933</v>
      </c>
      <c r="D434" s="79">
        <v>123456</v>
      </c>
      <c r="E434" s="81">
        <v>12334567000189</v>
      </c>
      <c r="F434" s="79" t="s">
        <v>60</v>
      </c>
      <c r="G434" s="79" t="s">
        <v>23</v>
      </c>
      <c r="H434" s="79">
        <v>471.88</v>
      </c>
      <c r="I434" s="79">
        <v>463.15</v>
      </c>
      <c r="J434" s="79">
        <v>8.73</v>
      </c>
      <c r="K434" s="79" t="s">
        <v>25</v>
      </c>
      <c r="L434" s="79" t="s">
        <v>19</v>
      </c>
      <c r="M434" s="79" t="s">
        <v>27</v>
      </c>
      <c r="N434" s="79" t="s">
        <v>20</v>
      </c>
      <c r="O434" s="79"/>
      <c r="P434" s="79">
        <v>3706</v>
      </c>
      <c r="Q434" s="79" t="s">
        <v>21</v>
      </c>
      <c r="R434" s="79" t="s">
        <v>61</v>
      </c>
      <c r="S434" s="79">
        <v>123456789</v>
      </c>
    </row>
    <row r="435" spans="1:19" x14ac:dyDescent="0.25">
      <c r="A435" s="79">
        <v>12345678</v>
      </c>
      <c r="B435" s="79" t="s">
        <v>934</v>
      </c>
      <c r="C435" s="82" t="s">
        <v>935</v>
      </c>
      <c r="D435" s="79">
        <v>123456</v>
      </c>
      <c r="E435" s="81">
        <v>12334567000189</v>
      </c>
      <c r="F435" s="79" t="s">
        <v>60</v>
      </c>
      <c r="G435" s="79" t="s">
        <v>23</v>
      </c>
      <c r="H435" s="79">
        <v>179.03</v>
      </c>
      <c r="I435" s="79">
        <v>175.11</v>
      </c>
      <c r="J435" s="79">
        <v>3.92</v>
      </c>
      <c r="K435" s="79" t="s">
        <v>25</v>
      </c>
      <c r="L435" s="79" t="s">
        <v>19</v>
      </c>
      <c r="M435" s="79" t="s">
        <v>89</v>
      </c>
      <c r="N435" s="79" t="s">
        <v>20</v>
      </c>
      <c r="O435" s="79"/>
      <c r="P435" s="79">
        <v>8413</v>
      </c>
      <c r="Q435" s="79" t="s">
        <v>21</v>
      </c>
      <c r="R435" s="79" t="s">
        <v>61</v>
      </c>
      <c r="S435" s="79">
        <v>123456789</v>
      </c>
    </row>
    <row r="436" spans="1:19" x14ac:dyDescent="0.25">
      <c r="A436" s="79">
        <v>12345678</v>
      </c>
      <c r="B436" s="79" t="s">
        <v>936</v>
      </c>
      <c r="C436" s="82" t="s">
        <v>937</v>
      </c>
      <c r="D436" s="79">
        <v>123456</v>
      </c>
      <c r="E436" s="81">
        <v>12334567000189</v>
      </c>
      <c r="F436" s="79" t="s">
        <v>60</v>
      </c>
      <c r="G436" s="79" t="s">
        <v>23</v>
      </c>
      <c r="H436" s="79">
        <v>214.64</v>
      </c>
      <c r="I436" s="79">
        <v>206.91</v>
      </c>
      <c r="J436" s="79">
        <v>7.73</v>
      </c>
      <c r="K436" s="79" t="s">
        <v>28</v>
      </c>
      <c r="L436" s="79" t="s">
        <v>19</v>
      </c>
      <c r="M436" s="79" t="s">
        <v>27</v>
      </c>
      <c r="N436" s="79" t="s">
        <v>20</v>
      </c>
      <c r="O436" s="79"/>
      <c r="P436" s="79">
        <v>8753</v>
      </c>
      <c r="Q436" s="79" t="s">
        <v>62</v>
      </c>
      <c r="R436" s="79" t="s">
        <v>61</v>
      </c>
      <c r="S436" s="79">
        <v>123456789</v>
      </c>
    </row>
    <row r="437" spans="1:19" x14ac:dyDescent="0.25">
      <c r="A437" s="79">
        <v>12345678</v>
      </c>
      <c r="B437" s="79" t="s">
        <v>938</v>
      </c>
      <c r="C437" s="82" t="s">
        <v>939</v>
      </c>
      <c r="D437" s="79">
        <v>123456</v>
      </c>
      <c r="E437" s="81">
        <v>12334567000189</v>
      </c>
      <c r="F437" s="79" t="s">
        <v>60</v>
      </c>
      <c r="G437" s="79" t="s">
        <v>23</v>
      </c>
      <c r="H437" s="79">
        <v>110.07</v>
      </c>
      <c r="I437" s="79">
        <v>108.59</v>
      </c>
      <c r="J437" s="79">
        <v>1.48</v>
      </c>
      <c r="K437" s="79" t="s">
        <v>25</v>
      </c>
      <c r="L437" s="79" t="s">
        <v>19</v>
      </c>
      <c r="M437" s="79" t="s">
        <v>26</v>
      </c>
      <c r="N437" s="79" t="s">
        <v>20</v>
      </c>
      <c r="O437" s="79"/>
      <c r="P437" s="79">
        <v>9115</v>
      </c>
      <c r="Q437" s="79" t="s">
        <v>21</v>
      </c>
      <c r="R437" s="79" t="s">
        <v>61</v>
      </c>
      <c r="S437" s="79">
        <v>123456789</v>
      </c>
    </row>
    <row r="438" spans="1:19" x14ac:dyDescent="0.25">
      <c r="A438" s="79">
        <v>12345678</v>
      </c>
      <c r="B438" s="79" t="s">
        <v>940</v>
      </c>
      <c r="C438" s="82" t="s">
        <v>941</v>
      </c>
      <c r="D438" s="79">
        <v>123456</v>
      </c>
      <c r="E438" s="81">
        <v>12334567000189</v>
      </c>
      <c r="F438" s="79" t="s">
        <v>60</v>
      </c>
      <c r="G438" s="79" t="s">
        <v>23</v>
      </c>
      <c r="H438" s="79">
        <v>131.18</v>
      </c>
      <c r="I438" s="79">
        <v>129.72999999999999</v>
      </c>
      <c r="J438" s="79">
        <v>1.45</v>
      </c>
      <c r="K438" s="79" t="s">
        <v>22</v>
      </c>
      <c r="L438" s="79" t="s">
        <v>19</v>
      </c>
      <c r="M438" s="79" t="s">
        <v>19</v>
      </c>
      <c r="N438" s="79" t="s">
        <v>20</v>
      </c>
      <c r="O438" s="79"/>
      <c r="P438" s="79">
        <v>9827</v>
      </c>
      <c r="Q438" s="79" t="s">
        <v>21</v>
      </c>
      <c r="R438" s="79" t="s">
        <v>61</v>
      </c>
      <c r="S438" s="79">
        <v>123456789</v>
      </c>
    </row>
    <row r="439" spans="1:19" x14ac:dyDescent="0.25">
      <c r="A439" s="79">
        <v>12345678</v>
      </c>
      <c r="B439" s="79" t="s">
        <v>942</v>
      </c>
      <c r="C439" s="82" t="s">
        <v>943</v>
      </c>
      <c r="D439" s="79">
        <v>123456</v>
      </c>
      <c r="E439" s="81">
        <v>12334567000189</v>
      </c>
      <c r="F439" s="79" t="s">
        <v>60</v>
      </c>
      <c r="G439" s="79" t="s">
        <v>23</v>
      </c>
      <c r="H439" s="79">
        <v>15.2</v>
      </c>
      <c r="I439" s="79">
        <v>15.04</v>
      </c>
      <c r="J439" s="79">
        <v>0.16</v>
      </c>
      <c r="K439" s="79" t="s">
        <v>22</v>
      </c>
      <c r="L439" s="79" t="s">
        <v>19</v>
      </c>
      <c r="M439" s="79" t="s">
        <v>19</v>
      </c>
      <c r="N439" s="79" t="s">
        <v>20</v>
      </c>
      <c r="O439" s="79"/>
      <c r="P439" s="79">
        <v>2246</v>
      </c>
      <c r="Q439" s="79" t="s">
        <v>21</v>
      </c>
      <c r="R439" s="79" t="s">
        <v>61</v>
      </c>
      <c r="S439" s="79">
        <v>123456789</v>
      </c>
    </row>
    <row r="440" spans="1:19" x14ac:dyDescent="0.25">
      <c r="A440" s="79">
        <v>12345678</v>
      </c>
      <c r="B440" s="79" t="s">
        <v>944</v>
      </c>
      <c r="C440" s="82" t="s">
        <v>945</v>
      </c>
      <c r="D440" s="79">
        <v>123456</v>
      </c>
      <c r="E440" s="81">
        <v>12334567000189</v>
      </c>
      <c r="F440" s="79" t="s">
        <v>60</v>
      </c>
      <c r="G440" s="79" t="s">
        <v>23</v>
      </c>
      <c r="H440" s="79">
        <v>627.92999999999995</v>
      </c>
      <c r="I440" s="79">
        <v>617.41</v>
      </c>
      <c r="J440" s="79">
        <v>10.52</v>
      </c>
      <c r="K440" s="79" t="s">
        <v>25</v>
      </c>
      <c r="L440" s="79" t="s">
        <v>19</v>
      </c>
      <c r="M440" s="79" t="s">
        <v>89</v>
      </c>
      <c r="N440" s="79" t="s">
        <v>20</v>
      </c>
      <c r="O440" s="79"/>
      <c r="P440" s="79">
        <v>5230</v>
      </c>
      <c r="Q440" s="79" t="s">
        <v>21</v>
      </c>
      <c r="R440" s="79" t="s">
        <v>61</v>
      </c>
      <c r="S440" s="79">
        <v>123456789</v>
      </c>
    </row>
    <row r="441" spans="1:19" x14ac:dyDescent="0.25">
      <c r="A441" s="79">
        <v>12345678</v>
      </c>
      <c r="B441" s="79" t="s">
        <v>946</v>
      </c>
      <c r="C441" s="82" t="s">
        <v>947</v>
      </c>
      <c r="D441" s="79">
        <v>123456</v>
      </c>
      <c r="E441" s="81">
        <v>12334567000189</v>
      </c>
      <c r="F441" s="79" t="s">
        <v>60</v>
      </c>
      <c r="G441" s="79" t="s">
        <v>23</v>
      </c>
      <c r="H441" s="79">
        <v>56.94</v>
      </c>
      <c r="I441" s="79">
        <v>54.87</v>
      </c>
      <c r="J441" s="79">
        <v>2.0699999999999998</v>
      </c>
      <c r="K441" s="79" t="s">
        <v>28</v>
      </c>
      <c r="L441" s="79" t="s">
        <v>19</v>
      </c>
      <c r="M441" s="79" t="s">
        <v>69</v>
      </c>
      <c r="N441" s="79" t="s">
        <v>20</v>
      </c>
      <c r="O441" s="79"/>
      <c r="P441" s="79">
        <v>2364</v>
      </c>
      <c r="Q441" s="79" t="s">
        <v>21</v>
      </c>
      <c r="R441" s="79" t="s">
        <v>61</v>
      </c>
      <c r="S441" s="79">
        <v>123456789</v>
      </c>
    </row>
    <row r="442" spans="1:19" x14ac:dyDescent="0.25">
      <c r="A442" s="79">
        <v>12345678</v>
      </c>
      <c r="B442" s="79" t="s">
        <v>948</v>
      </c>
      <c r="C442" s="82" t="s">
        <v>949</v>
      </c>
      <c r="D442" s="79">
        <v>123456</v>
      </c>
      <c r="E442" s="81">
        <v>12334567000189</v>
      </c>
      <c r="F442" s="79" t="s">
        <v>60</v>
      </c>
      <c r="G442" s="79" t="s">
        <v>23</v>
      </c>
      <c r="H442" s="79">
        <v>243.91</v>
      </c>
      <c r="I442" s="79">
        <v>234.6</v>
      </c>
      <c r="J442" s="79">
        <v>9.31</v>
      </c>
      <c r="K442" s="79" t="s">
        <v>28</v>
      </c>
      <c r="L442" s="79" t="s">
        <v>19</v>
      </c>
      <c r="M442" s="79" t="s">
        <v>26</v>
      </c>
      <c r="N442" s="79" t="s">
        <v>20</v>
      </c>
      <c r="O442" s="79"/>
      <c r="P442" s="79">
        <v>2096</v>
      </c>
      <c r="Q442" s="79" t="s">
        <v>62</v>
      </c>
      <c r="R442" s="79" t="s">
        <v>61</v>
      </c>
      <c r="S442" s="79">
        <v>123456789</v>
      </c>
    </row>
    <row r="443" spans="1:19" x14ac:dyDescent="0.25">
      <c r="A443" s="79">
        <v>12345678</v>
      </c>
      <c r="B443" s="79" t="s">
        <v>950</v>
      </c>
      <c r="C443" s="82" t="s">
        <v>951</v>
      </c>
      <c r="D443" s="79">
        <v>123456</v>
      </c>
      <c r="E443" s="81">
        <v>12334567000189</v>
      </c>
      <c r="F443" s="79" t="s">
        <v>60</v>
      </c>
      <c r="G443" s="79" t="s">
        <v>23</v>
      </c>
      <c r="H443" s="79">
        <v>860.28</v>
      </c>
      <c r="I443" s="79">
        <v>850.71</v>
      </c>
      <c r="J443" s="79">
        <v>9.57</v>
      </c>
      <c r="K443" s="79" t="s">
        <v>22</v>
      </c>
      <c r="L443" s="79" t="s">
        <v>19</v>
      </c>
      <c r="M443" s="79" t="s">
        <v>19</v>
      </c>
      <c r="N443" s="79" t="s">
        <v>20</v>
      </c>
      <c r="O443" s="79"/>
      <c r="P443" s="79">
        <v>6582</v>
      </c>
      <c r="Q443" s="79" t="s">
        <v>21</v>
      </c>
      <c r="R443" s="79" t="s">
        <v>61</v>
      </c>
      <c r="S443" s="79">
        <v>123456789</v>
      </c>
    </row>
    <row r="444" spans="1:19" x14ac:dyDescent="0.25">
      <c r="A444" s="79">
        <v>12345678</v>
      </c>
      <c r="B444" s="79" t="s">
        <v>952</v>
      </c>
      <c r="C444" s="82" t="s">
        <v>953</v>
      </c>
      <c r="D444" s="79">
        <v>123456</v>
      </c>
      <c r="E444" s="81">
        <v>12334567000189</v>
      </c>
      <c r="F444" s="79" t="s">
        <v>60</v>
      </c>
      <c r="G444" s="79" t="s">
        <v>23</v>
      </c>
      <c r="H444" s="79">
        <v>195.04</v>
      </c>
      <c r="I444" s="79">
        <v>188.47</v>
      </c>
      <c r="J444" s="79">
        <v>6.57</v>
      </c>
      <c r="K444" s="79" t="s">
        <v>28</v>
      </c>
      <c r="L444" s="79" t="s">
        <v>19</v>
      </c>
      <c r="M444" s="79" t="s">
        <v>89</v>
      </c>
      <c r="N444" s="79" t="s">
        <v>20</v>
      </c>
      <c r="O444" s="79"/>
      <c r="P444" s="79">
        <v>6939</v>
      </c>
      <c r="Q444" s="79" t="s">
        <v>62</v>
      </c>
      <c r="R444" s="79" t="s">
        <v>61</v>
      </c>
      <c r="S444" s="79">
        <v>123456789</v>
      </c>
    </row>
    <row r="445" spans="1:19" x14ac:dyDescent="0.25">
      <c r="A445" s="79">
        <v>12345678</v>
      </c>
      <c r="B445" s="79" t="s">
        <v>954</v>
      </c>
      <c r="C445" s="82" t="s">
        <v>955</v>
      </c>
      <c r="D445" s="79">
        <v>123456</v>
      </c>
      <c r="E445" s="81">
        <v>12334567000189</v>
      </c>
      <c r="F445" s="79" t="s">
        <v>60</v>
      </c>
      <c r="G445" s="79" t="s">
        <v>125</v>
      </c>
      <c r="H445" s="79">
        <v>102.31</v>
      </c>
      <c r="I445" s="79">
        <v>99.05</v>
      </c>
      <c r="J445" s="79">
        <v>3.26</v>
      </c>
      <c r="K445" s="79" t="s">
        <v>28</v>
      </c>
      <c r="L445" s="79" t="s">
        <v>19</v>
      </c>
      <c r="M445" s="79" t="s">
        <v>89</v>
      </c>
      <c r="N445" s="79" t="s">
        <v>20</v>
      </c>
      <c r="O445" s="79"/>
      <c r="P445" s="79">
        <v>1065</v>
      </c>
      <c r="Q445" s="79" t="s">
        <v>21</v>
      </c>
      <c r="R445" s="79" t="s">
        <v>61</v>
      </c>
      <c r="S445" s="79">
        <v>123456789</v>
      </c>
    </row>
    <row r="446" spans="1:19" x14ac:dyDescent="0.25">
      <c r="A446" s="79">
        <v>12345678</v>
      </c>
      <c r="B446" s="79" t="s">
        <v>956</v>
      </c>
      <c r="C446" s="82" t="s">
        <v>957</v>
      </c>
      <c r="D446" s="79">
        <v>123456</v>
      </c>
      <c r="E446" s="81">
        <v>12334567000189</v>
      </c>
      <c r="F446" s="79" t="s">
        <v>60</v>
      </c>
      <c r="G446" s="79" t="s">
        <v>23</v>
      </c>
      <c r="H446" s="79">
        <v>114.73</v>
      </c>
      <c r="I446" s="79">
        <v>110.36</v>
      </c>
      <c r="J446" s="79">
        <v>4.37</v>
      </c>
      <c r="K446" s="79" t="s">
        <v>28</v>
      </c>
      <c r="L446" s="79" t="s">
        <v>19</v>
      </c>
      <c r="M446" s="79" t="s">
        <v>26</v>
      </c>
      <c r="N446" s="79" t="s">
        <v>20</v>
      </c>
      <c r="O446" s="79"/>
      <c r="P446" s="79">
        <v>8040</v>
      </c>
      <c r="Q446" s="79" t="s">
        <v>21</v>
      </c>
      <c r="R446" s="79" t="s">
        <v>61</v>
      </c>
      <c r="S446" s="79">
        <v>123456789</v>
      </c>
    </row>
    <row r="447" spans="1:19" x14ac:dyDescent="0.25">
      <c r="A447" s="79">
        <v>12345678</v>
      </c>
      <c r="B447" s="79" t="s">
        <v>958</v>
      </c>
      <c r="C447" s="82" t="s">
        <v>959</v>
      </c>
      <c r="D447" s="79">
        <v>123456</v>
      </c>
      <c r="E447" s="81">
        <v>12334567000189</v>
      </c>
      <c r="F447" s="79" t="s">
        <v>60</v>
      </c>
      <c r="G447" s="79" t="s">
        <v>23</v>
      </c>
      <c r="H447" s="79">
        <v>163.06</v>
      </c>
      <c r="I447" s="79">
        <v>157.33000000000001</v>
      </c>
      <c r="J447" s="79">
        <v>5.73</v>
      </c>
      <c r="K447" s="79" t="s">
        <v>28</v>
      </c>
      <c r="L447" s="79" t="s">
        <v>19</v>
      </c>
      <c r="M447" s="79" t="s">
        <v>24</v>
      </c>
      <c r="N447" s="79" t="s">
        <v>20</v>
      </c>
      <c r="O447" s="79"/>
      <c r="P447" s="79">
        <v>4573</v>
      </c>
      <c r="Q447" s="79" t="s">
        <v>72</v>
      </c>
      <c r="R447" s="79" t="s">
        <v>61</v>
      </c>
      <c r="S447" s="79">
        <v>123456789</v>
      </c>
    </row>
    <row r="448" spans="1:19" x14ac:dyDescent="0.25">
      <c r="A448" s="79">
        <v>12345678</v>
      </c>
      <c r="B448" s="79" t="s">
        <v>960</v>
      </c>
      <c r="C448" s="82" t="s">
        <v>961</v>
      </c>
      <c r="D448" s="79">
        <v>123456</v>
      </c>
      <c r="E448" s="81">
        <v>12334567000189</v>
      </c>
      <c r="F448" s="79" t="s">
        <v>60</v>
      </c>
      <c r="G448" s="79" t="s">
        <v>23</v>
      </c>
      <c r="H448" s="79">
        <v>70.959999999999994</v>
      </c>
      <c r="I448" s="79">
        <v>68.709999999999994</v>
      </c>
      <c r="J448" s="79">
        <v>2.25</v>
      </c>
      <c r="K448" s="79" t="s">
        <v>28</v>
      </c>
      <c r="L448" s="79" t="s">
        <v>19</v>
      </c>
      <c r="M448" s="79" t="s">
        <v>69</v>
      </c>
      <c r="N448" s="79" t="s">
        <v>20</v>
      </c>
      <c r="O448" s="79"/>
      <c r="P448" s="79">
        <v>1976</v>
      </c>
      <c r="Q448" s="79" t="s">
        <v>21</v>
      </c>
      <c r="R448" s="79" t="s">
        <v>61</v>
      </c>
      <c r="S448" s="79">
        <v>123456789</v>
      </c>
    </row>
    <row r="449" spans="1:19" x14ac:dyDescent="0.25">
      <c r="A449" s="79">
        <v>12345678</v>
      </c>
      <c r="B449" s="79" t="s">
        <v>962</v>
      </c>
      <c r="C449" s="82" t="s">
        <v>963</v>
      </c>
      <c r="D449" s="79">
        <v>123456</v>
      </c>
      <c r="E449" s="81">
        <v>12334567000189</v>
      </c>
      <c r="F449" s="79" t="s">
        <v>60</v>
      </c>
      <c r="G449" s="79" t="s">
        <v>23</v>
      </c>
      <c r="H449" s="79">
        <v>42.02</v>
      </c>
      <c r="I449" s="79">
        <v>41.37</v>
      </c>
      <c r="J449" s="79">
        <v>0.65</v>
      </c>
      <c r="K449" s="79" t="s">
        <v>25</v>
      </c>
      <c r="L449" s="79" t="s">
        <v>19</v>
      </c>
      <c r="M449" s="79" t="s">
        <v>26</v>
      </c>
      <c r="N449" s="79" t="s">
        <v>20</v>
      </c>
      <c r="O449" s="79"/>
      <c r="P449" s="79">
        <v>7075</v>
      </c>
      <c r="Q449" s="79" t="s">
        <v>21</v>
      </c>
      <c r="R449" s="79" t="s">
        <v>61</v>
      </c>
      <c r="S449" s="79">
        <v>123456789</v>
      </c>
    </row>
    <row r="450" spans="1:19" x14ac:dyDescent="0.25">
      <c r="A450" s="79">
        <v>12345678</v>
      </c>
      <c r="B450" s="79" t="s">
        <v>964</v>
      </c>
      <c r="C450" s="82" t="s">
        <v>965</v>
      </c>
      <c r="D450" s="79">
        <v>123456</v>
      </c>
      <c r="E450" s="81">
        <v>12334567000189</v>
      </c>
      <c r="F450" s="79" t="s">
        <v>60</v>
      </c>
      <c r="G450" s="79" t="s">
        <v>23</v>
      </c>
      <c r="H450" s="79">
        <v>200.91</v>
      </c>
      <c r="I450" s="79">
        <v>192.47</v>
      </c>
      <c r="J450" s="79">
        <v>8.44</v>
      </c>
      <c r="K450" s="79" t="s">
        <v>28</v>
      </c>
      <c r="L450" s="79" t="s">
        <v>19</v>
      </c>
      <c r="M450" s="79" t="s">
        <v>69</v>
      </c>
      <c r="N450" s="79" t="s">
        <v>20</v>
      </c>
      <c r="O450" s="79"/>
      <c r="P450" s="79">
        <v>7960</v>
      </c>
      <c r="Q450" s="79" t="s">
        <v>21</v>
      </c>
      <c r="R450" s="79" t="s">
        <v>61</v>
      </c>
      <c r="S450" s="79">
        <v>123456789</v>
      </c>
    </row>
    <row r="451" spans="1:19" x14ac:dyDescent="0.25">
      <c r="A451" s="79">
        <v>12345678</v>
      </c>
      <c r="B451" s="79" t="s">
        <v>966</v>
      </c>
      <c r="C451" s="82" t="s">
        <v>967</v>
      </c>
      <c r="D451" s="79">
        <v>123456</v>
      </c>
      <c r="E451" s="81">
        <v>12334567000189</v>
      </c>
      <c r="F451" s="79" t="s">
        <v>60</v>
      </c>
      <c r="G451" s="79" t="s">
        <v>23</v>
      </c>
      <c r="H451" s="79">
        <v>192.37</v>
      </c>
      <c r="I451" s="79">
        <v>184.67</v>
      </c>
      <c r="J451" s="79">
        <v>7.7</v>
      </c>
      <c r="K451" s="79" t="s">
        <v>28</v>
      </c>
      <c r="L451" s="79" t="s">
        <v>19</v>
      </c>
      <c r="M451" s="79" t="s">
        <v>89</v>
      </c>
      <c r="N451" s="79" t="s">
        <v>20</v>
      </c>
      <c r="O451" s="79"/>
      <c r="P451" s="79">
        <v>3223</v>
      </c>
      <c r="Q451" s="79" t="s">
        <v>21</v>
      </c>
      <c r="R451" s="79" t="s">
        <v>61</v>
      </c>
      <c r="S451" s="79">
        <v>123456789</v>
      </c>
    </row>
    <row r="452" spans="1:19" x14ac:dyDescent="0.25">
      <c r="A452" s="79">
        <v>12345678</v>
      </c>
      <c r="B452" s="79" t="s">
        <v>968</v>
      </c>
      <c r="C452" s="82" t="s">
        <v>969</v>
      </c>
      <c r="D452" s="79">
        <v>123456</v>
      </c>
      <c r="E452" s="81">
        <v>12334567000189</v>
      </c>
      <c r="F452" s="79" t="s">
        <v>60</v>
      </c>
      <c r="G452" s="79" t="s">
        <v>23</v>
      </c>
      <c r="H452" s="79">
        <v>20.62</v>
      </c>
      <c r="I452" s="79">
        <v>20</v>
      </c>
      <c r="J452" s="79">
        <v>0.62</v>
      </c>
      <c r="K452" s="79" t="s">
        <v>28</v>
      </c>
      <c r="L452" s="79" t="s">
        <v>19</v>
      </c>
      <c r="M452" s="79" t="s">
        <v>89</v>
      </c>
      <c r="N452" s="79" t="s">
        <v>20</v>
      </c>
      <c r="O452" s="79"/>
      <c r="P452" s="79">
        <v>9252</v>
      </c>
      <c r="Q452" s="79" t="s">
        <v>21</v>
      </c>
      <c r="R452" s="79" t="s">
        <v>61</v>
      </c>
      <c r="S452" s="79">
        <v>123456789</v>
      </c>
    </row>
    <row r="453" spans="1:19" x14ac:dyDescent="0.25">
      <c r="A453" s="79">
        <v>12345678</v>
      </c>
      <c r="B453" s="79" t="s">
        <v>970</v>
      </c>
      <c r="C453" s="82" t="s">
        <v>971</v>
      </c>
      <c r="D453" s="79">
        <v>123456</v>
      </c>
      <c r="E453" s="81">
        <v>12334567000189</v>
      </c>
      <c r="F453" s="79" t="s">
        <v>60</v>
      </c>
      <c r="G453" s="79" t="s">
        <v>23</v>
      </c>
      <c r="H453" s="79">
        <v>133.86000000000001</v>
      </c>
      <c r="I453" s="79">
        <v>131.69999999999999</v>
      </c>
      <c r="J453" s="79">
        <v>2.16</v>
      </c>
      <c r="K453" s="79" t="s">
        <v>25</v>
      </c>
      <c r="L453" s="79" t="s">
        <v>19</v>
      </c>
      <c r="M453" s="79" t="s">
        <v>26</v>
      </c>
      <c r="N453" s="79" t="s">
        <v>20</v>
      </c>
      <c r="O453" s="79"/>
      <c r="P453" s="79">
        <v>8074</v>
      </c>
      <c r="Q453" s="79" t="s">
        <v>21</v>
      </c>
      <c r="R453" s="79" t="s">
        <v>61</v>
      </c>
      <c r="S453" s="79">
        <v>123456789</v>
      </c>
    </row>
    <row r="454" spans="1:19" x14ac:dyDescent="0.25">
      <c r="A454" s="79">
        <v>12345678</v>
      </c>
      <c r="B454" s="79" t="s">
        <v>972</v>
      </c>
      <c r="C454" s="82" t="s">
        <v>973</v>
      </c>
      <c r="D454" s="79">
        <v>123456</v>
      </c>
      <c r="E454" s="81">
        <v>12334567000189</v>
      </c>
      <c r="F454" s="79" t="s">
        <v>60</v>
      </c>
      <c r="G454" s="79" t="s">
        <v>23</v>
      </c>
      <c r="H454" s="79">
        <v>584.24</v>
      </c>
      <c r="I454" s="79">
        <v>566.65</v>
      </c>
      <c r="J454" s="79">
        <v>17.59</v>
      </c>
      <c r="K454" s="79" t="s">
        <v>28</v>
      </c>
      <c r="L454" s="79" t="s">
        <v>19</v>
      </c>
      <c r="M454" s="79" t="s">
        <v>26</v>
      </c>
      <c r="N454" s="79" t="s">
        <v>20</v>
      </c>
      <c r="O454" s="79"/>
      <c r="P454" s="79">
        <v>8357</v>
      </c>
      <c r="Q454" s="79" t="s">
        <v>21</v>
      </c>
      <c r="R454" s="79" t="s">
        <v>61</v>
      </c>
      <c r="S454" s="79">
        <v>123456789</v>
      </c>
    </row>
    <row r="455" spans="1:19" x14ac:dyDescent="0.25">
      <c r="A455" s="79">
        <v>12345678</v>
      </c>
      <c r="B455" s="79" t="s">
        <v>974</v>
      </c>
      <c r="C455" s="82" t="s">
        <v>975</v>
      </c>
      <c r="D455" s="79">
        <v>123456</v>
      </c>
      <c r="E455" s="81">
        <v>12334567000189</v>
      </c>
      <c r="F455" s="79" t="s">
        <v>60</v>
      </c>
      <c r="G455" s="79" t="s">
        <v>23</v>
      </c>
      <c r="H455" s="79">
        <v>90.96</v>
      </c>
      <c r="I455" s="79">
        <v>87.88</v>
      </c>
      <c r="J455" s="79">
        <v>3.08</v>
      </c>
      <c r="K455" s="79" t="s">
        <v>28</v>
      </c>
      <c r="L455" s="79" t="s">
        <v>19</v>
      </c>
      <c r="M455" s="79" t="s">
        <v>27</v>
      </c>
      <c r="N455" s="79" t="s">
        <v>20</v>
      </c>
      <c r="O455" s="79"/>
      <c r="P455" s="79">
        <v>1831</v>
      </c>
      <c r="Q455" s="79" t="s">
        <v>102</v>
      </c>
      <c r="R455" s="79" t="s">
        <v>61</v>
      </c>
      <c r="S455" s="79">
        <v>123456789</v>
      </c>
    </row>
    <row r="456" spans="1:19" x14ac:dyDescent="0.25">
      <c r="A456" s="79">
        <v>12345678</v>
      </c>
      <c r="B456" s="79" t="s">
        <v>976</v>
      </c>
      <c r="C456" s="82" t="s">
        <v>977</v>
      </c>
      <c r="D456" s="79">
        <v>123456</v>
      </c>
      <c r="E456" s="81">
        <v>12334567000189</v>
      </c>
      <c r="F456" s="79" t="s">
        <v>60</v>
      </c>
      <c r="G456" s="79" t="s">
        <v>23</v>
      </c>
      <c r="H456" s="79">
        <v>444.9</v>
      </c>
      <c r="I456" s="79">
        <v>427.87</v>
      </c>
      <c r="J456" s="79">
        <v>17.03</v>
      </c>
      <c r="K456" s="79" t="s">
        <v>28</v>
      </c>
      <c r="L456" s="79" t="s">
        <v>19</v>
      </c>
      <c r="M456" s="79" t="s">
        <v>26</v>
      </c>
      <c r="N456" s="79" t="s">
        <v>20</v>
      </c>
      <c r="O456" s="79"/>
      <c r="P456" s="79">
        <v>1396</v>
      </c>
      <c r="Q456" s="79" t="s">
        <v>21</v>
      </c>
      <c r="R456" s="79" t="s">
        <v>61</v>
      </c>
      <c r="S456" s="79">
        <v>123456789</v>
      </c>
    </row>
    <row r="457" spans="1:19" x14ac:dyDescent="0.25">
      <c r="A457" s="79">
        <v>12345678</v>
      </c>
      <c r="B457" s="79" t="s">
        <v>978</v>
      </c>
      <c r="C457" s="82" t="s">
        <v>979</v>
      </c>
      <c r="D457" s="79">
        <v>123456</v>
      </c>
      <c r="E457" s="81">
        <v>12334567000189</v>
      </c>
      <c r="F457" s="79" t="s">
        <v>60</v>
      </c>
      <c r="G457" s="79" t="s">
        <v>23</v>
      </c>
      <c r="H457" s="79">
        <v>57.83</v>
      </c>
      <c r="I457" s="79">
        <v>56.69</v>
      </c>
      <c r="J457" s="79">
        <v>1.1399999999999999</v>
      </c>
      <c r="K457" s="79" t="s">
        <v>25</v>
      </c>
      <c r="L457" s="79" t="s">
        <v>19</v>
      </c>
      <c r="M457" s="79" t="s">
        <v>69</v>
      </c>
      <c r="N457" s="79" t="s">
        <v>20</v>
      </c>
      <c r="O457" s="79"/>
      <c r="P457" s="79">
        <v>5705</v>
      </c>
      <c r="Q457" s="79" t="s">
        <v>21</v>
      </c>
      <c r="R457" s="79" t="s">
        <v>61</v>
      </c>
      <c r="S457" s="79">
        <v>123456789</v>
      </c>
    </row>
    <row r="458" spans="1:19" x14ac:dyDescent="0.25">
      <c r="A458" s="79">
        <v>12345678</v>
      </c>
      <c r="B458" s="79" t="s">
        <v>980</v>
      </c>
      <c r="C458" s="82" t="s">
        <v>981</v>
      </c>
      <c r="D458" s="79">
        <v>123456</v>
      </c>
      <c r="E458" s="81">
        <v>12334567000189</v>
      </c>
      <c r="F458" s="79" t="s">
        <v>60</v>
      </c>
      <c r="G458" s="79" t="s">
        <v>23</v>
      </c>
      <c r="H458" s="79">
        <v>60.96</v>
      </c>
      <c r="I458" s="79">
        <v>58.43</v>
      </c>
      <c r="J458" s="79">
        <v>2.5299999999999998</v>
      </c>
      <c r="K458" s="79" t="s">
        <v>28</v>
      </c>
      <c r="L458" s="79" t="s">
        <v>19</v>
      </c>
      <c r="M458" s="79" t="s">
        <v>89</v>
      </c>
      <c r="N458" s="79" t="s">
        <v>20</v>
      </c>
      <c r="O458" s="79"/>
      <c r="P458" s="79">
        <v>7149</v>
      </c>
      <c r="Q458" s="79" t="s">
        <v>21</v>
      </c>
      <c r="R458" s="79" t="s">
        <v>61</v>
      </c>
      <c r="S458" s="79">
        <v>123456789</v>
      </c>
    </row>
    <row r="459" spans="1:19" x14ac:dyDescent="0.25">
      <c r="A459" s="79">
        <v>12345678</v>
      </c>
      <c r="B459" s="79" t="s">
        <v>982</v>
      </c>
      <c r="C459" s="82" t="s">
        <v>983</v>
      </c>
      <c r="D459" s="79">
        <v>123456</v>
      </c>
      <c r="E459" s="81">
        <v>12334567000189</v>
      </c>
      <c r="F459" s="79" t="s">
        <v>60</v>
      </c>
      <c r="G459" s="79" t="s">
        <v>23</v>
      </c>
      <c r="H459" s="79">
        <v>146.22999999999999</v>
      </c>
      <c r="I459" s="79">
        <v>143.79</v>
      </c>
      <c r="J459" s="79">
        <v>2.44</v>
      </c>
      <c r="K459" s="79" t="s">
        <v>25</v>
      </c>
      <c r="L459" s="79" t="s">
        <v>19</v>
      </c>
      <c r="M459" s="79" t="s">
        <v>27</v>
      </c>
      <c r="N459" s="79" t="s">
        <v>20</v>
      </c>
      <c r="O459" s="79"/>
      <c r="P459" s="79">
        <v>3907</v>
      </c>
      <c r="Q459" s="79" t="s">
        <v>21</v>
      </c>
      <c r="R459" s="79" t="s">
        <v>61</v>
      </c>
      <c r="S459" s="79">
        <v>123456789</v>
      </c>
    </row>
    <row r="460" spans="1:19" x14ac:dyDescent="0.25">
      <c r="A460" s="79">
        <v>12345678</v>
      </c>
      <c r="B460" s="79" t="s">
        <v>984</v>
      </c>
      <c r="C460" s="82" t="s">
        <v>985</v>
      </c>
      <c r="D460" s="79">
        <v>123456</v>
      </c>
      <c r="E460" s="81">
        <v>12334567000189</v>
      </c>
      <c r="F460" s="79" t="s">
        <v>60</v>
      </c>
      <c r="G460" s="79" t="s">
        <v>23</v>
      </c>
      <c r="H460" s="79">
        <v>449.41</v>
      </c>
      <c r="I460" s="79">
        <v>434.62</v>
      </c>
      <c r="J460" s="79">
        <v>14.79</v>
      </c>
      <c r="K460" s="79" t="s">
        <v>28</v>
      </c>
      <c r="L460" s="79" t="s">
        <v>19</v>
      </c>
      <c r="M460" s="79" t="s">
        <v>69</v>
      </c>
      <c r="N460" s="79" t="s">
        <v>20</v>
      </c>
      <c r="O460" s="79"/>
      <c r="P460" s="79">
        <v>1668</v>
      </c>
      <c r="Q460" s="79" t="s">
        <v>62</v>
      </c>
      <c r="R460" s="79" t="s">
        <v>61</v>
      </c>
      <c r="S460" s="79">
        <v>123456789</v>
      </c>
    </row>
    <row r="461" spans="1:19" x14ac:dyDescent="0.25">
      <c r="A461" s="79">
        <v>12345678</v>
      </c>
      <c r="B461" s="79" t="s">
        <v>986</v>
      </c>
      <c r="C461" s="82" t="s">
        <v>987</v>
      </c>
      <c r="D461" s="79">
        <v>123456</v>
      </c>
      <c r="E461" s="81">
        <v>12334567000189</v>
      </c>
      <c r="F461" s="79" t="s">
        <v>60</v>
      </c>
      <c r="G461" s="79" t="s">
        <v>23</v>
      </c>
      <c r="H461" s="79">
        <v>1133.93</v>
      </c>
      <c r="I461" s="79">
        <v>1115.57</v>
      </c>
      <c r="J461" s="79">
        <v>18.36</v>
      </c>
      <c r="K461" s="79" t="s">
        <v>25</v>
      </c>
      <c r="L461" s="79" t="s">
        <v>19</v>
      </c>
      <c r="M461" s="79" t="s">
        <v>26</v>
      </c>
      <c r="N461" s="79" t="s">
        <v>20</v>
      </c>
      <c r="O461" s="79"/>
      <c r="P461" s="79">
        <v>9207</v>
      </c>
      <c r="Q461" s="79" t="s">
        <v>21</v>
      </c>
      <c r="R461" s="79" t="s">
        <v>61</v>
      </c>
      <c r="S461" s="79">
        <v>123456789</v>
      </c>
    </row>
    <row r="462" spans="1:19" x14ac:dyDescent="0.25">
      <c r="A462" s="79">
        <v>12345678</v>
      </c>
      <c r="B462" s="79" t="s">
        <v>988</v>
      </c>
      <c r="C462" s="82" t="s">
        <v>989</v>
      </c>
      <c r="D462" s="79">
        <v>123456</v>
      </c>
      <c r="E462" s="81">
        <v>12334567000189</v>
      </c>
      <c r="F462" s="79" t="s">
        <v>60</v>
      </c>
      <c r="G462" s="79" t="s">
        <v>23</v>
      </c>
      <c r="H462" s="79">
        <v>220.39</v>
      </c>
      <c r="I462" s="79">
        <v>213.33</v>
      </c>
      <c r="J462" s="79">
        <v>7.06</v>
      </c>
      <c r="K462" s="79" t="s">
        <v>28</v>
      </c>
      <c r="L462" s="79" t="s">
        <v>19</v>
      </c>
      <c r="M462" s="79" t="s">
        <v>89</v>
      </c>
      <c r="N462" s="79" t="s">
        <v>20</v>
      </c>
      <c r="O462" s="79"/>
      <c r="P462" s="79">
        <v>9919</v>
      </c>
      <c r="Q462" s="79" t="s">
        <v>62</v>
      </c>
      <c r="R462" s="79" t="s">
        <v>61</v>
      </c>
      <c r="S462" s="79">
        <v>123456789</v>
      </c>
    </row>
    <row r="463" spans="1:19" x14ac:dyDescent="0.25">
      <c r="A463" s="79">
        <v>12345678</v>
      </c>
      <c r="B463" s="79" t="s">
        <v>990</v>
      </c>
      <c r="C463" s="82" t="s">
        <v>991</v>
      </c>
      <c r="D463" s="79">
        <v>123456</v>
      </c>
      <c r="E463" s="81">
        <v>12334567000189</v>
      </c>
      <c r="F463" s="79" t="s">
        <v>60</v>
      </c>
      <c r="G463" s="79" t="s">
        <v>125</v>
      </c>
      <c r="H463" s="79">
        <v>36.51</v>
      </c>
      <c r="I463" s="79">
        <v>35.04</v>
      </c>
      <c r="J463" s="79">
        <v>1.47</v>
      </c>
      <c r="K463" s="79" t="s">
        <v>28</v>
      </c>
      <c r="L463" s="79" t="s">
        <v>19</v>
      </c>
      <c r="M463" s="79" t="s">
        <v>24</v>
      </c>
      <c r="N463" s="79" t="s">
        <v>20</v>
      </c>
      <c r="O463" s="79"/>
      <c r="P463" s="79">
        <v>2748</v>
      </c>
      <c r="Q463" s="79" t="s">
        <v>21</v>
      </c>
      <c r="R463" s="79" t="s">
        <v>61</v>
      </c>
      <c r="S463" s="79">
        <v>123456789</v>
      </c>
    </row>
    <row r="464" spans="1:19" x14ac:dyDescent="0.25">
      <c r="A464" s="79">
        <v>12345678</v>
      </c>
      <c r="B464" s="79" t="s">
        <v>992</v>
      </c>
      <c r="C464" s="82" t="s">
        <v>993</v>
      </c>
      <c r="D464" s="79">
        <v>123456</v>
      </c>
      <c r="E464" s="81">
        <v>12334567000189</v>
      </c>
      <c r="F464" s="79" t="s">
        <v>60</v>
      </c>
      <c r="G464" s="79" t="s">
        <v>23</v>
      </c>
      <c r="H464" s="79">
        <v>252.9</v>
      </c>
      <c r="I464" s="79">
        <v>243.33</v>
      </c>
      <c r="J464" s="79">
        <v>9.57</v>
      </c>
      <c r="K464" s="79" t="s">
        <v>28</v>
      </c>
      <c r="L464" s="79" t="s">
        <v>19</v>
      </c>
      <c r="M464" s="79" t="s">
        <v>29</v>
      </c>
      <c r="N464" s="79" t="s">
        <v>20</v>
      </c>
      <c r="O464" s="79"/>
      <c r="P464" s="79">
        <v>7504</v>
      </c>
      <c r="Q464" s="79" t="s">
        <v>21</v>
      </c>
      <c r="R464" s="79" t="s">
        <v>61</v>
      </c>
      <c r="S464" s="79">
        <v>123456789</v>
      </c>
    </row>
    <row r="465" spans="1:19" x14ac:dyDescent="0.25">
      <c r="A465" s="79">
        <v>12345678</v>
      </c>
      <c r="B465" s="79" t="s">
        <v>994</v>
      </c>
      <c r="C465" s="82" t="s">
        <v>995</v>
      </c>
      <c r="D465" s="79">
        <v>123456</v>
      </c>
      <c r="E465" s="81">
        <v>12334567000189</v>
      </c>
      <c r="F465" s="79" t="s">
        <v>60</v>
      </c>
      <c r="G465" s="79" t="s">
        <v>23</v>
      </c>
      <c r="H465" s="79">
        <v>50.4</v>
      </c>
      <c r="I465" s="79">
        <v>48.13</v>
      </c>
      <c r="J465" s="79">
        <v>2.27</v>
      </c>
      <c r="K465" s="79" t="s">
        <v>28</v>
      </c>
      <c r="L465" s="79" t="s">
        <v>19</v>
      </c>
      <c r="M465" s="79" t="s">
        <v>27</v>
      </c>
      <c r="N465" s="79" t="s">
        <v>20</v>
      </c>
      <c r="O465" s="79"/>
      <c r="P465" s="79">
        <v>1759</v>
      </c>
      <c r="Q465" s="79" t="s">
        <v>21</v>
      </c>
      <c r="R465" s="79" t="s">
        <v>61</v>
      </c>
      <c r="S465" s="79">
        <v>123456789</v>
      </c>
    </row>
    <row r="466" spans="1:19" x14ac:dyDescent="0.25">
      <c r="A466" s="79">
        <v>12345678</v>
      </c>
      <c r="B466" s="79" t="s">
        <v>996</v>
      </c>
      <c r="C466" s="82" t="s">
        <v>997</v>
      </c>
      <c r="D466" s="79">
        <v>123456</v>
      </c>
      <c r="E466" s="81">
        <v>12334567000189</v>
      </c>
      <c r="F466" s="79" t="s">
        <v>60</v>
      </c>
      <c r="G466" s="79" t="s">
        <v>23</v>
      </c>
      <c r="H466" s="79">
        <v>133.69</v>
      </c>
      <c r="I466" s="79">
        <v>127.98</v>
      </c>
      <c r="J466" s="79">
        <v>5.71</v>
      </c>
      <c r="K466" s="79" t="s">
        <v>28</v>
      </c>
      <c r="L466" s="79" t="s">
        <v>19</v>
      </c>
      <c r="M466" s="79" t="s">
        <v>29</v>
      </c>
      <c r="N466" s="79" t="s">
        <v>20</v>
      </c>
      <c r="O466" s="79"/>
      <c r="P466" s="79">
        <v>3336</v>
      </c>
      <c r="Q466" s="79" t="s">
        <v>102</v>
      </c>
      <c r="R466" s="79" t="s">
        <v>61</v>
      </c>
      <c r="S466" s="79">
        <v>123456789</v>
      </c>
    </row>
    <row r="467" spans="1:19" x14ac:dyDescent="0.25">
      <c r="A467" s="79">
        <v>12345678</v>
      </c>
      <c r="B467" s="79" t="s">
        <v>998</v>
      </c>
      <c r="C467" s="82" t="s">
        <v>999</v>
      </c>
      <c r="D467" s="79">
        <v>123456</v>
      </c>
      <c r="E467" s="81">
        <v>12334567000189</v>
      </c>
      <c r="F467" s="79" t="s">
        <v>60</v>
      </c>
      <c r="G467" s="79" t="s">
        <v>125</v>
      </c>
      <c r="H467" s="79">
        <v>474.24</v>
      </c>
      <c r="I467" s="79">
        <v>463.96</v>
      </c>
      <c r="J467" s="79">
        <v>10.28</v>
      </c>
      <c r="K467" s="79" t="s">
        <v>25</v>
      </c>
      <c r="L467" s="79" t="s">
        <v>19</v>
      </c>
      <c r="M467" s="79" t="s">
        <v>29</v>
      </c>
      <c r="N467" s="79" t="s">
        <v>20</v>
      </c>
      <c r="O467" s="79"/>
      <c r="P467" s="79">
        <v>2062</v>
      </c>
      <c r="Q467" s="79" t="s">
        <v>21</v>
      </c>
      <c r="R467" s="79" t="s">
        <v>61</v>
      </c>
      <c r="S467" s="79">
        <v>123456789</v>
      </c>
    </row>
    <row r="468" spans="1:19" x14ac:dyDescent="0.25">
      <c r="A468" s="79">
        <v>12345678</v>
      </c>
      <c r="B468" s="79" t="s">
        <v>1000</v>
      </c>
      <c r="C468" s="82" t="s">
        <v>1001</v>
      </c>
      <c r="D468" s="79">
        <v>123456</v>
      </c>
      <c r="E468" s="81">
        <v>12334567000189</v>
      </c>
      <c r="F468" s="79" t="s">
        <v>60</v>
      </c>
      <c r="G468" s="79" t="s">
        <v>23</v>
      </c>
      <c r="H468" s="79">
        <v>14.57</v>
      </c>
      <c r="I468" s="79">
        <v>14.25</v>
      </c>
      <c r="J468" s="79">
        <v>0.32</v>
      </c>
      <c r="K468" s="79" t="s">
        <v>25</v>
      </c>
      <c r="L468" s="79" t="s">
        <v>19</v>
      </c>
      <c r="M468" s="79" t="s">
        <v>26</v>
      </c>
      <c r="N468" s="79" t="s">
        <v>20</v>
      </c>
      <c r="O468" s="79"/>
      <c r="P468" s="79">
        <v>5066</v>
      </c>
      <c r="Q468" s="79" t="s">
        <v>21</v>
      </c>
      <c r="R468" s="79" t="s">
        <v>61</v>
      </c>
      <c r="S468" s="79">
        <v>123456789</v>
      </c>
    </row>
    <row r="469" spans="1:19" x14ac:dyDescent="0.25">
      <c r="A469" s="79">
        <v>12345678</v>
      </c>
      <c r="B469" s="79" t="s">
        <v>1002</v>
      </c>
      <c r="C469" s="82" t="s">
        <v>1003</v>
      </c>
      <c r="D469" s="79">
        <v>123456</v>
      </c>
      <c r="E469" s="81">
        <v>12334567000189</v>
      </c>
      <c r="F469" s="79" t="s">
        <v>60</v>
      </c>
      <c r="G469" s="79" t="s">
        <v>23</v>
      </c>
      <c r="H469" s="79">
        <v>233.97</v>
      </c>
      <c r="I469" s="79">
        <v>223.84</v>
      </c>
      <c r="J469" s="79">
        <v>10.130000000000001</v>
      </c>
      <c r="K469" s="79" t="s">
        <v>28</v>
      </c>
      <c r="L469" s="79" t="s">
        <v>19</v>
      </c>
      <c r="M469" s="79" t="s">
        <v>89</v>
      </c>
      <c r="N469" s="79" t="s">
        <v>20</v>
      </c>
      <c r="O469" s="79"/>
      <c r="P469" s="79">
        <v>6070</v>
      </c>
      <c r="Q469" s="79" t="s">
        <v>21</v>
      </c>
      <c r="R469" s="79" t="s">
        <v>61</v>
      </c>
      <c r="S469" s="79">
        <v>123456789</v>
      </c>
    </row>
    <row r="470" spans="1:19" x14ac:dyDescent="0.25">
      <c r="A470" s="79">
        <v>12345678</v>
      </c>
      <c r="B470" s="79" t="s">
        <v>1004</v>
      </c>
      <c r="C470" s="82" t="s">
        <v>1005</v>
      </c>
      <c r="D470" s="79">
        <v>123456</v>
      </c>
      <c r="E470" s="81">
        <v>12334567000189</v>
      </c>
      <c r="F470" s="79" t="s">
        <v>60</v>
      </c>
      <c r="G470" s="79" t="s">
        <v>125</v>
      </c>
      <c r="H470" s="79">
        <v>185.95</v>
      </c>
      <c r="I470" s="79">
        <v>182.99</v>
      </c>
      <c r="J470" s="79">
        <v>2.96</v>
      </c>
      <c r="K470" s="79" t="s">
        <v>25</v>
      </c>
      <c r="L470" s="79" t="s">
        <v>19</v>
      </c>
      <c r="M470" s="79" t="s">
        <v>69</v>
      </c>
      <c r="N470" s="79" t="s">
        <v>20</v>
      </c>
      <c r="O470" s="79"/>
      <c r="P470" s="79">
        <v>8113</v>
      </c>
      <c r="Q470" s="79" t="s">
        <v>21</v>
      </c>
      <c r="R470" s="79" t="s">
        <v>61</v>
      </c>
      <c r="S470" s="79">
        <v>123456789</v>
      </c>
    </row>
    <row r="471" spans="1:19" x14ac:dyDescent="0.25">
      <c r="A471" s="79">
        <v>12345678</v>
      </c>
      <c r="B471" s="79" t="s">
        <v>1006</v>
      </c>
      <c r="C471" s="82" t="s">
        <v>1007</v>
      </c>
      <c r="D471" s="79">
        <v>123456</v>
      </c>
      <c r="E471" s="81">
        <v>12334567000189</v>
      </c>
      <c r="F471" s="79" t="s">
        <v>60</v>
      </c>
      <c r="G471" s="79" t="s">
        <v>23</v>
      </c>
      <c r="H471" s="79">
        <v>176.14</v>
      </c>
      <c r="I471" s="79">
        <v>173.3</v>
      </c>
      <c r="J471" s="79">
        <v>2.84</v>
      </c>
      <c r="K471" s="79" t="s">
        <v>25</v>
      </c>
      <c r="L471" s="79" t="s">
        <v>19</v>
      </c>
      <c r="M471" s="79" t="s">
        <v>69</v>
      </c>
      <c r="N471" s="79" t="s">
        <v>20</v>
      </c>
      <c r="O471" s="79"/>
      <c r="P471" s="79">
        <v>3690</v>
      </c>
      <c r="Q471" s="79" t="s">
        <v>21</v>
      </c>
      <c r="R471" s="79" t="s">
        <v>61</v>
      </c>
      <c r="S471" s="79">
        <v>123456789</v>
      </c>
    </row>
    <row r="472" spans="1:19" x14ac:dyDescent="0.25">
      <c r="A472" s="79">
        <v>12345678</v>
      </c>
      <c r="B472" s="79" t="s">
        <v>1008</v>
      </c>
      <c r="C472" s="82" t="s">
        <v>1009</v>
      </c>
      <c r="D472" s="79">
        <v>123456</v>
      </c>
      <c r="E472" s="81">
        <v>12334567000189</v>
      </c>
      <c r="F472" s="79" t="s">
        <v>60</v>
      </c>
      <c r="G472" s="79" t="s">
        <v>23</v>
      </c>
      <c r="H472" s="79">
        <v>257.14</v>
      </c>
      <c r="I472" s="79">
        <v>247.75</v>
      </c>
      <c r="J472" s="79">
        <v>9.39</v>
      </c>
      <c r="K472" s="79" t="s">
        <v>28</v>
      </c>
      <c r="L472" s="79" t="s">
        <v>19</v>
      </c>
      <c r="M472" s="79" t="s">
        <v>24</v>
      </c>
      <c r="N472" s="79" t="s">
        <v>20</v>
      </c>
      <c r="O472" s="79"/>
      <c r="P472" s="79">
        <v>4209</v>
      </c>
      <c r="Q472" s="79" t="s">
        <v>102</v>
      </c>
      <c r="R472" s="79" t="s">
        <v>61</v>
      </c>
      <c r="S472" s="79">
        <v>123456789</v>
      </c>
    </row>
    <row r="473" spans="1:19" x14ac:dyDescent="0.25">
      <c r="A473" s="79">
        <v>12345678</v>
      </c>
      <c r="B473" s="79" t="s">
        <v>1010</v>
      </c>
      <c r="C473" s="82" t="s">
        <v>1011</v>
      </c>
      <c r="D473" s="79">
        <v>123456</v>
      </c>
      <c r="E473" s="81">
        <v>12334567000189</v>
      </c>
      <c r="F473" s="79" t="s">
        <v>60</v>
      </c>
      <c r="G473" s="79" t="s">
        <v>23</v>
      </c>
      <c r="H473" s="79">
        <v>191.82</v>
      </c>
      <c r="I473" s="79">
        <v>189.24</v>
      </c>
      <c r="J473" s="79">
        <v>2.58</v>
      </c>
      <c r="K473" s="79" t="s">
        <v>25</v>
      </c>
      <c r="L473" s="79" t="s">
        <v>19</v>
      </c>
      <c r="M473" s="79" t="s">
        <v>26</v>
      </c>
      <c r="N473" s="79" t="s">
        <v>20</v>
      </c>
      <c r="O473" s="79"/>
      <c r="P473" s="79">
        <v>2094</v>
      </c>
      <c r="Q473" s="79" t="s">
        <v>21</v>
      </c>
      <c r="R473" s="79" t="s">
        <v>61</v>
      </c>
      <c r="S473" s="79">
        <v>123456789</v>
      </c>
    </row>
    <row r="474" spans="1:19" x14ac:dyDescent="0.25">
      <c r="A474" s="79">
        <v>12345678</v>
      </c>
      <c r="B474" s="79" t="s">
        <v>1012</v>
      </c>
      <c r="C474" s="82" t="s">
        <v>1013</v>
      </c>
      <c r="D474" s="79">
        <v>123456</v>
      </c>
      <c r="E474" s="81">
        <v>12334567000189</v>
      </c>
      <c r="F474" s="79" t="s">
        <v>60</v>
      </c>
      <c r="G474" s="79" t="s">
        <v>23</v>
      </c>
      <c r="H474" s="79">
        <v>161.94999999999999</v>
      </c>
      <c r="I474" s="79">
        <v>159.07</v>
      </c>
      <c r="J474" s="79">
        <v>2.88</v>
      </c>
      <c r="K474" s="79" t="s">
        <v>25</v>
      </c>
      <c r="L474" s="79" t="s">
        <v>19</v>
      </c>
      <c r="M474" s="79" t="s">
        <v>29</v>
      </c>
      <c r="N474" s="79" t="s">
        <v>20</v>
      </c>
      <c r="O474" s="79"/>
      <c r="P474" s="79">
        <v>6206</v>
      </c>
      <c r="Q474" s="79" t="s">
        <v>21</v>
      </c>
      <c r="R474" s="79" t="s">
        <v>61</v>
      </c>
      <c r="S474" s="79">
        <v>123456789</v>
      </c>
    </row>
    <row r="475" spans="1:19" x14ac:dyDescent="0.25">
      <c r="A475" s="79">
        <v>12345678</v>
      </c>
      <c r="B475" s="79" t="s">
        <v>1014</v>
      </c>
      <c r="C475" s="82" t="s">
        <v>1015</v>
      </c>
      <c r="D475" s="79">
        <v>123456</v>
      </c>
      <c r="E475" s="81">
        <v>12334567000189</v>
      </c>
      <c r="F475" s="79" t="s">
        <v>60</v>
      </c>
      <c r="G475" s="79" t="s">
        <v>23</v>
      </c>
      <c r="H475" s="79">
        <v>110.04</v>
      </c>
      <c r="I475" s="79">
        <v>106.54</v>
      </c>
      <c r="J475" s="79">
        <v>3.5</v>
      </c>
      <c r="K475" s="79" t="s">
        <v>28</v>
      </c>
      <c r="L475" s="79" t="s">
        <v>19</v>
      </c>
      <c r="M475" s="79" t="s">
        <v>27</v>
      </c>
      <c r="N475" s="79" t="s">
        <v>20</v>
      </c>
      <c r="O475" s="79"/>
      <c r="P475" s="79">
        <v>9411</v>
      </c>
      <c r="Q475" s="79" t="s">
        <v>21</v>
      </c>
      <c r="R475" s="79" t="s">
        <v>61</v>
      </c>
      <c r="S475" s="79">
        <v>123456789</v>
      </c>
    </row>
    <row r="476" spans="1:19" x14ac:dyDescent="0.25">
      <c r="A476" s="79">
        <v>12345678</v>
      </c>
      <c r="B476" s="79" t="s">
        <v>1016</v>
      </c>
      <c r="C476" s="82" t="s">
        <v>1017</v>
      </c>
      <c r="D476" s="79">
        <v>123456</v>
      </c>
      <c r="E476" s="81">
        <v>12334567000189</v>
      </c>
      <c r="F476" s="79" t="s">
        <v>60</v>
      </c>
      <c r="G476" s="79" t="s">
        <v>23</v>
      </c>
      <c r="H476" s="79">
        <v>56.83</v>
      </c>
      <c r="I476" s="79">
        <v>55.05</v>
      </c>
      <c r="J476" s="79">
        <v>1.78</v>
      </c>
      <c r="K476" s="79" t="s">
        <v>28</v>
      </c>
      <c r="L476" s="79" t="s">
        <v>19</v>
      </c>
      <c r="M476" s="79" t="s">
        <v>24</v>
      </c>
      <c r="N476" s="79" t="s">
        <v>20</v>
      </c>
      <c r="O476" s="79"/>
      <c r="P476" s="79">
        <v>8366</v>
      </c>
      <c r="Q476" s="79" t="s">
        <v>102</v>
      </c>
      <c r="R476" s="79" t="s">
        <v>61</v>
      </c>
      <c r="S476" s="79">
        <v>123456789</v>
      </c>
    </row>
    <row r="477" spans="1:19" x14ac:dyDescent="0.25">
      <c r="A477" s="79">
        <v>12345678</v>
      </c>
      <c r="B477" s="79" t="s">
        <v>1018</v>
      </c>
      <c r="C477" s="82" t="s">
        <v>1019</v>
      </c>
      <c r="D477" s="79">
        <v>123456</v>
      </c>
      <c r="E477" s="81">
        <v>12334567000189</v>
      </c>
      <c r="F477" s="79" t="s">
        <v>60</v>
      </c>
      <c r="G477" s="79" t="s">
        <v>23</v>
      </c>
      <c r="H477" s="79">
        <v>180.7</v>
      </c>
      <c r="I477" s="79">
        <v>178.73</v>
      </c>
      <c r="J477" s="79">
        <v>1.97</v>
      </c>
      <c r="K477" s="79" t="s">
        <v>22</v>
      </c>
      <c r="L477" s="79" t="s">
        <v>19</v>
      </c>
      <c r="M477" s="79" t="s">
        <v>19</v>
      </c>
      <c r="N477" s="79" t="s">
        <v>20</v>
      </c>
      <c r="O477" s="79"/>
      <c r="P477" s="79">
        <v>1243</v>
      </c>
      <c r="Q477" s="79" t="s">
        <v>21</v>
      </c>
      <c r="R477" s="79" t="s">
        <v>61</v>
      </c>
      <c r="S477" s="79">
        <v>123456789</v>
      </c>
    </row>
    <row r="478" spans="1:19" x14ac:dyDescent="0.25">
      <c r="A478" s="79">
        <v>12345678</v>
      </c>
      <c r="B478" s="79" t="s">
        <v>1020</v>
      </c>
      <c r="C478" s="82" t="s">
        <v>1021</v>
      </c>
      <c r="D478" s="79">
        <v>123456</v>
      </c>
      <c r="E478" s="81">
        <v>12334567000189</v>
      </c>
      <c r="F478" s="79" t="s">
        <v>60</v>
      </c>
      <c r="G478" s="79" t="s">
        <v>23</v>
      </c>
      <c r="H478" s="79">
        <v>40.42</v>
      </c>
      <c r="I478" s="79">
        <v>39.799999999999997</v>
      </c>
      <c r="J478" s="79">
        <v>0.62</v>
      </c>
      <c r="K478" s="79" t="s">
        <v>25</v>
      </c>
      <c r="L478" s="79" t="s">
        <v>19</v>
      </c>
      <c r="M478" s="79" t="s">
        <v>89</v>
      </c>
      <c r="N478" s="79" t="s">
        <v>20</v>
      </c>
      <c r="O478" s="79"/>
      <c r="P478" s="79">
        <v>4765</v>
      </c>
      <c r="Q478" s="79" t="s">
        <v>21</v>
      </c>
      <c r="R478" s="79" t="s">
        <v>61</v>
      </c>
      <c r="S478" s="79">
        <v>123456789</v>
      </c>
    </row>
    <row r="479" spans="1:19" x14ac:dyDescent="0.25">
      <c r="A479" s="79">
        <v>12345678</v>
      </c>
      <c r="B479" s="79" t="s">
        <v>1022</v>
      </c>
      <c r="C479" s="82" t="s">
        <v>1023</v>
      </c>
      <c r="D479" s="79">
        <v>123456</v>
      </c>
      <c r="E479" s="81">
        <v>12334567000189</v>
      </c>
      <c r="F479" s="79" t="s">
        <v>60</v>
      </c>
      <c r="G479" s="79" t="s">
        <v>23</v>
      </c>
      <c r="H479" s="79">
        <v>1258.93</v>
      </c>
      <c r="I479" s="79">
        <v>1234.73</v>
      </c>
      <c r="J479" s="79">
        <v>24.2</v>
      </c>
      <c r="K479" s="79" t="s">
        <v>25</v>
      </c>
      <c r="L479" s="79" t="s">
        <v>19</v>
      </c>
      <c r="M479" s="79" t="s">
        <v>89</v>
      </c>
      <c r="N479" s="79" t="s">
        <v>20</v>
      </c>
      <c r="O479" s="79"/>
      <c r="P479" s="79">
        <v>4059</v>
      </c>
      <c r="Q479" s="79" t="s">
        <v>21</v>
      </c>
      <c r="R479" s="79" t="s">
        <v>61</v>
      </c>
      <c r="S479" s="79">
        <v>123456789</v>
      </c>
    </row>
    <row r="480" spans="1:19" x14ac:dyDescent="0.25">
      <c r="A480" s="79">
        <v>12345678</v>
      </c>
      <c r="B480" s="79" t="s">
        <v>1024</v>
      </c>
      <c r="C480" s="82" t="s">
        <v>1025</v>
      </c>
      <c r="D480" s="79">
        <v>123456</v>
      </c>
      <c r="E480" s="81">
        <v>12334567000189</v>
      </c>
      <c r="F480" s="79" t="s">
        <v>60</v>
      </c>
      <c r="G480" s="79" t="s">
        <v>23</v>
      </c>
      <c r="H480" s="79">
        <v>236.27</v>
      </c>
      <c r="I480" s="79">
        <v>225.77</v>
      </c>
      <c r="J480" s="79">
        <v>10.5</v>
      </c>
      <c r="K480" s="79" t="s">
        <v>28</v>
      </c>
      <c r="L480" s="79" t="s">
        <v>19</v>
      </c>
      <c r="M480" s="79" t="s">
        <v>29</v>
      </c>
      <c r="N480" s="79" t="s">
        <v>20</v>
      </c>
      <c r="O480" s="79"/>
      <c r="P480" s="79">
        <v>5412</v>
      </c>
      <c r="Q480" s="79" t="s">
        <v>62</v>
      </c>
      <c r="R480" s="79" t="s">
        <v>61</v>
      </c>
      <c r="S480" s="79">
        <v>123456789</v>
      </c>
    </row>
    <row r="481" spans="1:19" x14ac:dyDescent="0.25">
      <c r="A481" s="79">
        <v>12345678</v>
      </c>
      <c r="B481" s="79" t="s">
        <v>1026</v>
      </c>
      <c r="C481" s="82" t="s">
        <v>1027</v>
      </c>
      <c r="D481" s="79">
        <v>123456</v>
      </c>
      <c r="E481" s="81">
        <v>12334567000189</v>
      </c>
      <c r="F481" s="79" t="s">
        <v>60</v>
      </c>
      <c r="G481" s="79" t="s">
        <v>23</v>
      </c>
      <c r="H481" s="79">
        <v>753.34</v>
      </c>
      <c r="I481" s="79">
        <v>740.9</v>
      </c>
      <c r="J481" s="79">
        <v>12.44</v>
      </c>
      <c r="K481" s="79" t="s">
        <v>25</v>
      </c>
      <c r="L481" s="79" t="s">
        <v>19</v>
      </c>
      <c r="M481" s="79" t="s">
        <v>69</v>
      </c>
      <c r="N481" s="79" t="s">
        <v>20</v>
      </c>
      <c r="O481" s="79"/>
      <c r="P481" s="79">
        <v>7412</v>
      </c>
      <c r="Q481" s="79" t="s">
        <v>21</v>
      </c>
      <c r="R481" s="79" t="s">
        <v>61</v>
      </c>
      <c r="S481" s="79">
        <v>123456789</v>
      </c>
    </row>
    <row r="482" spans="1:19" x14ac:dyDescent="0.25">
      <c r="A482" s="79">
        <v>12345678</v>
      </c>
      <c r="B482" s="79" t="s">
        <v>1028</v>
      </c>
      <c r="C482" s="82" t="s">
        <v>1029</v>
      </c>
      <c r="D482" s="79">
        <v>123456</v>
      </c>
      <c r="E482" s="81">
        <v>12334567000189</v>
      </c>
      <c r="F482" s="79" t="s">
        <v>60</v>
      </c>
      <c r="G482" s="79" t="s">
        <v>23</v>
      </c>
      <c r="H482" s="79">
        <v>627.71</v>
      </c>
      <c r="I482" s="79">
        <v>614.46</v>
      </c>
      <c r="J482" s="79">
        <v>13.25</v>
      </c>
      <c r="K482" s="79" t="s">
        <v>25</v>
      </c>
      <c r="L482" s="79" t="s">
        <v>19</v>
      </c>
      <c r="M482" s="79" t="s">
        <v>89</v>
      </c>
      <c r="N482" s="79" t="s">
        <v>20</v>
      </c>
      <c r="O482" s="79"/>
      <c r="P482" s="79">
        <v>7409</v>
      </c>
      <c r="Q482" s="79" t="s">
        <v>21</v>
      </c>
      <c r="R482" s="79" t="s">
        <v>61</v>
      </c>
      <c r="S482" s="79">
        <v>123456789</v>
      </c>
    </row>
    <row r="483" spans="1:19" x14ac:dyDescent="0.25">
      <c r="A483" s="79">
        <v>12345678</v>
      </c>
      <c r="B483" s="79" t="s">
        <v>1030</v>
      </c>
      <c r="C483" s="82" t="s">
        <v>1031</v>
      </c>
      <c r="D483" s="79">
        <v>123456</v>
      </c>
      <c r="E483" s="81">
        <v>12334567000189</v>
      </c>
      <c r="F483" s="79" t="s">
        <v>60</v>
      </c>
      <c r="G483" s="79" t="s">
        <v>23</v>
      </c>
      <c r="H483" s="79">
        <v>160.49</v>
      </c>
      <c r="I483" s="79">
        <v>153.37</v>
      </c>
      <c r="J483" s="79">
        <v>7.12</v>
      </c>
      <c r="K483" s="79" t="s">
        <v>28</v>
      </c>
      <c r="L483" s="79" t="s">
        <v>19</v>
      </c>
      <c r="M483" s="79" t="s">
        <v>89</v>
      </c>
      <c r="N483" s="79" t="s">
        <v>20</v>
      </c>
      <c r="O483" s="79"/>
      <c r="P483" s="79">
        <v>2445</v>
      </c>
      <c r="Q483" s="79" t="s">
        <v>21</v>
      </c>
      <c r="R483" s="79" t="s">
        <v>61</v>
      </c>
      <c r="S483" s="79">
        <v>123456789</v>
      </c>
    </row>
    <row r="484" spans="1:19" x14ac:dyDescent="0.25">
      <c r="A484" s="79">
        <v>12345678</v>
      </c>
      <c r="B484" s="79" t="s">
        <v>1032</v>
      </c>
      <c r="C484" s="82" t="s">
        <v>1033</v>
      </c>
      <c r="D484" s="79">
        <v>123456</v>
      </c>
      <c r="E484" s="81">
        <v>12334567000189</v>
      </c>
      <c r="F484" s="79" t="s">
        <v>60</v>
      </c>
      <c r="G484" s="79" t="s">
        <v>23</v>
      </c>
      <c r="H484" s="79">
        <v>105.05</v>
      </c>
      <c r="I484" s="79">
        <v>101.73</v>
      </c>
      <c r="J484" s="79">
        <v>3.32</v>
      </c>
      <c r="K484" s="79" t="s">
        <v>28</v>
      </c>
      <c r="L484" s="79" t="s">
        <v>19</v>
      </c>
      <c r="M484" s="79" t="s">
        <v>69</v>
      </c>
      <c r="N484" s="79" t="s">
        <v>20</v>
      </c>
      <c r="O484" s="79"/>
      <c r="P484" s="79">
        <v>9580</v>
      </c>
      <c r="Q484" s="79" t="s">
        <v>21</v>
      </c>
      <c r="R484" s="79" t="s">
        <v>61</v>
      </c>
      <c r="S484" s="79">
        <v>123456789</v>
      </c>
    </row>
    <row r="485" spans="1:19" x14ac:dyDescent="0.25">
      <c r="A485" s="79">
        <v>12345678</v>
      </c>
      <c r="B485" s="79" t="s">
        <v>1034</v>
      </c>
      <c r="C485" s="82" t="s">
        <v>1035</v>
      </c>
      <c r="D485" s="79">
        <v>123456</v>
      </c>
      <c r="E485" s="81">
        <v>12334567000189</v>
      </c>
      <c r="F485" s="79" t="s">
        <v>60</v>
      </c>
      <c r="G485" s="79" t="s">
        <v>23</v>
      </c>
      <c r="H485" s="79">
        <v>48.17</v>
      </c>
      <c r="I485" s="79">
        <v>46.38</v>
      </c>
      <c r="J485" s="79">
        <v>1.79</v>
      </c>
      <c r="K485" s="79" t="s">
        <v>28</v>
      </c>
      <c r="L485" s="79" t="s">
        <v>19</v>
      </c>
      <c r="M485" s="79" t="s">
        <v>26</v>
      </c>
      <c r="N485" s="79" t="s">
        <v>20</v>
      </c>
      <c r="O485" s="79"/>
      <c r="P485" s="79">
        <v>5581</v>
      </c>
      <c r="Q485" s="79" t="s">
        <v>21</v>
      </c>
      <c r="R485" s="79" t="s">
        <v>61</v>
      </c>
      <c r="S485" s="79">
        <v>123456789</v>
      </c>
    </row>
    <row r="486" spans="1:19" x14ac:dyDescent="0.25">
      <c r="A486" s="79">
        <v>12345678</v>
      </c>
      <c r="B486" s="79" t="s">
        <v>1036</v>
      </c>
      <c r="C486" s="82" t="s">
        <v>1037</v>
      </c>
      <c r="D486" s="79">
        <v>123456</v>
      </c>
      <c r="E486" s="81">
        <v>12334567000189</v>
      </c>
      <c r="F486" s="79" t="s">
        <v>60</v>
      </c>
      <c r="G486" s="79" t="s">
        <v>23</v>
      </c>
      <c r="H486" s="79">
        <v>289.72000000000003</v>
      </c>
      <c r="I486" s="79">
        <v>277.57</v>
      </c>
      <c r="J486" s="79">
        <v>12.15</v>
      </c>
      <c r="K486" s="79" t="s">
        <v>28</v>
      </c>
      <c r="L486" s="79" t="s">
        <v>19</v>
      </c>
      <c r="M486" s="79" t="s">
        <v>26</v>
      </c>
      <c r="N486" s="79" t="s">
        <v>20</v>
      </c>
      <c r="O486" s="79"/>
      <c r="P486" s="79">
        <v>6340</v>
      </c>
      <c r="Q486" s="79" t="s">
        <v>62</v>
      </c>
      <c r="R486" s="79" t="s">
        <v>61</v>
      </c>
      <c r="S486" s="79">
        <v>123456789</v>
      </c>
    </row>
    <row r="487" spans="1:19" x14ac:dyDescent="0.25">
      <c r="A487" s="79">
        <v>12345678</v>
      </c>
      <c r="B487" s="79" t="s">
        <v>1038</v>
      </c>
      <c r="C487" s="82" t="s">
        <v>1039</v>
      </c>
      <c r="D487" s="79">
        <v>123456</v>
      </c>
      <c r="E487" s="81">
        <v>12334567000189</v>
      </c>
      <c r="F487" s="79" t="s">
        <v>60</v>
      </c>
      <c r="G487" s="79" t="s">
        <v>23</v>
      </c>
      <c r="H487" s="79">
        <v>108.58</v>
      </c>
      <c r="I487" s="79">
        <v>107.14</v>
      </c>
      <c r="J487" s="79">
        <v>1.44</v>
      </c>
      <c r="K487" s="79" t="s">
        <v>25</v>
      </c>
      <c r="L487" s="79" t="s">
        <v>19</v>
      </c>
      <c r="M487" s="79" t="s">
        <v>27</v>
      </c>
      <c r="N487" s="79" t="s">
        <v>20</v>
      </c>
      <c r="O487" s="79"/>
      <c r="P487" s="79">
        <v>3747</v>
      </c>
      <c r="Q487" s="79" t="s">
        <v>21</v>
      </c>
      <c r="R487" s="79" t="s">
        <v>61</v>
      </c>
      <c r="S487" s="79">
        <v>123456789</v>
      </c>
    </row>
    <row r="488" spans="1:19" x14ac:dyDescent="0.25">
      <c r="A488" s="79">
        <v>12345678</v>
      </c>
      <c r="B488" s="79" t="s">
        <v>1040</v>
      </c>
      <c r="C488" s="82" t="s">
        <v>1041</v>
      </c>
      <c r="D488" s="79">
        <v>123456</v>
      </c>
      <c r="E488" s="81">
        <v>12334567000189</v>
      </c>
      <c r="F488" s="79" t="s">
        <v>60</v>
      </c>
      <c r="G488" s="79" t="s">
        <v>23</v>
      </c>
      <c r="H488" s="79">
        <v>341.76</v>
      </c>
      <c r="I488" s="79">
        <v>338.73</v>
      </c>
      <c r="J488" s="79">
        <v>3.03</v>
      </c>
      <c r="K488" s="79" t="s">
        <v>22</v>
      </c>
      <c r="L488" s="79" t="s">
        <v>19</v>
      </c>
      <c r="M488" s="79" t="s">
        <v>19</v>
      </c>
      <c r="N488" s="79" t="s">
        <v>20</v>
      </c>
      <c r="O488" s="79"/>
      <c r="P488" s="79">
        <v>2426</v>
      </c>
      <c r="Q488" s="79" t="s">
        <v>21</v>
      </c>
      <c r="R488" s="79" t="s">
        <v>61</v>
      </c>
      <c r="S488" s="79">
        <v>123456789</v>
      </c>
    </row>
    <row r="489" spans="1:19" x14ac:dyDescent="0.25">
      <c r="A489" s="79">
        <v>12345678</v>
      </c>
      <c r="B489" s="79" t="s">
        <v>1042</v>
      </c>
      <c r="C489" s="82" t="s">
        <v>1043</v>
      </c>
      <c r="D489" s="79">
        <v>123456</v>
      </c>
      <c r="E489" s="81">
        <v>12334567000189</v>
      </c>
      <c r="F489" s="79" t="s">
        <v>60</v>
      </c>
      <c r="G489" s="79" t="s">
        <v>23</v>
      </c>
      <c r="H489" s="79">
        <v>111.53</v>
      </c>
      <c r="I489" s="79">
        <v>109.61</v>
      </c>
      <c r="J489" s="79">
        <v>1.92</v>
      </c>
      <c r="K489" s="79" t="s">
        <v>25</v>
      </c>
      <c r="L489" s="79" t="s">
        <v>19</v>
      </c>
      <c r="M489" s="79" t="s">
        <v>26</v>
      </c>
      <c r="N489" s="79" t="s">
        <v>20</v>
      </c>
      <c r="O489" s="79"/>
      <c r="P489" s="79">
        <v>4249</v>
      </c>
      <c r="Q489" s="79" t="s">
        <v>21</v>
      </c>
      <c r="R489" s="79" t="s">
        <v>61</v>
      </c>
      <c r="S489" s="79">
        <v>123456789</v>
      </c>
    </row>
    <row r="490" spans="1:19" x14ac:dyDescent="0.25">
      <c r="A490" s="79">
        <v>12345678</v>
      </c>
      <c r="B490" s="79" t="s">
        <v>1044</v>
      </c>
      <c r="C490" s="82" t="s">
        <v>1045</v>
      </c>
      <c r="D490" s="79">
        <v>123456</v>
      </c>
      <c r="E490" s="81">
        <v>12334567000189</v>
      </c>
      <c r="F490" s="79" t="s">
        <v>60</v>
      </c>
      <c r="G490" s="79" t="s">
        <v>23</v>
      </c>
      <c r="H490" s="79">
        <v>173.7</v>
      </c>
      <c r="I490" s="79">
        <v>166.97</v>
      </c>
      <c r="J490" s="79">
        <v>6.73</v>
      </c>
      <c r="K490" s="79" t="s">
        <v>28</v>
      </c>
      <c r="L490" s="79" t="s">
        <v>19</v>
      </c>
      <c r="M490" s="79" t="s">
        <v>27</v>
      </c>
      <c r="N490" s="79" t="s">
        <v>20</v>
      </c>
      <c r="O490" s="79"/>
      <c r="P490" s="79">
        <v>6047</v>
      </c>
      <c r="Q490" s="79" t="s">
        <v>72</v>
      </c>
      <c r="R490" s="79" t="s">
        <v>61</v>
      </c>
      <c r="S490" s="79">
        <v>123456789</v>
      </c>
    </row>
    <row r="491" spans="1:19" x14ac:dyDescent="0.25">
      <c r="A491" s="79">
        <v>12345678</v>
      </c>
      <c r="B491" s="79" t="s">
        <v>1046</v>
      </c>
      <c r="C491" s="82" t="s">
        <v>1047</v>
      </c>
      <c r="D491" s="79">
        <v>123456</v>
      </c>
      <c r="E491" s="81">
        <v>12334567000189</v>
      </c>
      <c r="F491" s="79" t="s">
        <v>60</v>
      </c>
      <c r="G491" s="79" t="s">
        <v>23</v>
      </c>
      <c r="H491" s="79">
        <v>144.28</v>
      </c>
      <c r="I491" s="79">
        <v>138.34</v>
      </c>
      <c r="J491" s="79">
        <v>5.94</v>
      </c>
      <c r="K491" s="79" t="s">
        <v>28</v>
      </c>
      <c r="L491" s="79" t="s">
        <v>19</v>
      </c>
      <c r="M491" s="79" t="s">
        <v>24</v>
      </c>
      <c r="N491" s="79" t="s">
        <v>20</v>
      </c>
      <c r="O491" s="79"/>
      <c r="P491" s="79">
        <v>2843</v>
      </c>
      <c r="Q491" s="79" t="s">
        <v>21</v>
      </c>
      <c r="R491" s="79" t="s">
        <v>61</v>
      </c>
      <c r="S491" s="79">
        <v>123456789</v>
      </c>
    </row>
    <row r="492" spans="1:19" x14ac:dyDescent="0.25">
      <c r="A492" s="79">
        <v>12345678</v>
      </c>
      <c r="B492" s="79" t="s">
        <v>1048</v>
      </c>
      <c r="C492" s="82" t="s">
        <v>1049</v>
      </c>
      <c r="D492" s="79">
        <v>123456</v>
      </c>
      <c r="E492" s="81">
        <v>12334567000189</v>
      </c>
      <c r="F492" s="79" t="s">
        <v>60</v>
      </c>
      <c r="G492" s="79" t="s">
        <v>23</v>
      </c>
      <c r="H492" s="79">
        <v>382.97</v>
      </c>
      <c r="I492" s="79">
        <v>366.02</v>
      </c>
      <c r="J492" s="79">
        <v>16.95</v>
      </c>
      <c r="K492" s="79" t="s">
        <v>28</v>
      </c>
      <c r="L492" s="79" t="s">
        <v>19</v>
      </c>
      <c r="M492" s="79" t="s">
        <v>89</v>
      </c>
      <c r="N492" s="79" t="s">
        <v>20</v>
      </c>
      <c r="O492" s="79"/>
      <c r="P492" s="79">
        <v>9426</v>
      </c>
      <c r="Q492" s="79" t="s">
        <v>21</v>
      </c>
      <c r="R492" s="79" t="s">
        <v>61</v>
      </c>
      <c r="S492" s="79">
        <v>123456789</v>
      </c>
    </row>
    <row r="493" spans="1:19" x14ac:dyDescent="0.25">
      <c r="A493" s="79">
        <v>12345678</v>
      </c>
      <c r="B493" s="79" t="s">
        <v>1050</v>
      </c>
      <c r="C493" s="82" t="s">
        <v>1051</v>
      </c>
      <c r="D493" s="79">
        <v>123456</v>
      </c>
      <c r="E493" s="81">
        <v>12334567000189</v>
      </c>
      <c r="F493" s="79" t="s">
        <v>60</v>
      </c>
      <c r="G493" s="79" t="s">
        <v>23</v>
      </c>
      <c r="H493" s="79">
        <v>278.05</v>
      </c>
      <c r="I493" s="79">
        <v>266.38</v>
      </c>
      <c r="J493" s="79">
        <v>11.67</v>
      </c>
      <c r="K493" s="79" t="s">
        <v>28</v>
      </c>
      <c r="L493" s="79" t="s">
        <v>19</v>
      </c>
      <c r="M493" s="79" t="s">
        <v>29</v>
      </c>
      <c r="N493" s="79" t="s">
        <v>20</v>
      </c>
      <c r="O493" s="79"/>
      <c r="P493" s="79">
        <v>8831</v>
      </c>
      <c r="Q493" s="79" t="s">
        <v>21</v>
      </c>
      <c r="R493" s="79" t="s">
        <v>61</v>
      </c>
      <c r="S493" s="79">
        <v>123456789</v>
      </c>
    </row>
    <row r="494" spans="1:19" x14ac:dyDescent="0.25">
      <c r="A494" s="79">
        <v>12345678</v>
      </c>
      <c r="B494" s="79" t="s">
        <v>1052</v>
      </c>
      <c r="C494" s="82" t="s">
        <v>1053</v>
      </c>
      <c r="D494" s="79">
        <v>123456</v>
      </c>
      <c r="E494" s="81">
        <v>12334567000189</v>
      </c>
      <c r="F494" s="79" t="s">
        <v>60</v>
      </c>
      <c r="G494" s="79" t="s">
        <v>23</v>
      </c>
      <c r="H494" s="79">
        <v>26.44</v>
      </c>
      <c r="I494" s="79">
        <v>25.32</v>
      </c>
      <c r="J494" s="79">
        <v>1.1200000000000001</v>
      </c>
      <c r="K494" s="79" t="s">
        <v>28</v>
      </c>
      <c r="L494" s="79" t="s">
        <v>19</v>
      </c>
      <c r="M494" s="79" t="s">
        <v>29</v>
      </c>
      <c r="N494" s="79" t="s">
        <v>20</v>
      </c>
      <c r="O494" s="79"/>
      <c r="P494" s="79">
        <v>1685</v>
      </c>
      <c r="Q494" s="79" t="s">
        <v>21</v>
      </c>
      <c r="R494" s="79" t="s">
        <v>61</v>
      </c>
      <c r="S494" s="79">
        <v>123456789</v>
      </c>
    </row>
    <row r="495" spans="1:19" x14ac:dyDescent="0.25">
      <c r="A495" s="79">
        <v>12345678</v>
      </c>
      <c r="B495" s="79" t="s">
        <v>1054</v>
      </c>
      <c r="C495" s="82" t="s">
        <v>1055</v>
      </c>
      <c r="D495" s="79">
        <v>123456</v>
      </c>
      <c r="E495" s="81">
        <v>12334567000189</v>
      </c>
      <c r="F495" s="79" t="s">
        <v>60</v>
      </c>
      <c r="G495" s="79" t="s">
        <v>23</v>
      </c>
      <c r="H495" s="79">
        <v>219.67</v>
      </c>
      <c r="I495" s="79">
        <v>210.9</v>
      </c>
      <c r="J495" s="79">
        <v>8.77</v>
      </c>
      <c r="K495" s="79" t="s">
        <v>28</v>
      </c>
      <c r="L495" s="79" t="s">
        <v>19</v>
      </c>
      <c r="M495" s="79" t="s">
        <v>89</v>
      </c>
      <c r="N495" s="79" t="s">
        <v>20</v>
      </c>
      <c r="O495" s="79"/>
      <c r="P495" s="79">
        <v>1143</v>
      </c>
      <c r="Q495" s="79" t="s">
        <v>62</v>
      </c>
      <c r="R495" s="79" t="s">
        <v>61</v>
      </c>
      <c r="S495" s="79">
        <v>123456789</v>
      </c>
    </row>
    <row r="496" spans="1:19" x14ac:dyDescent="0.25">
      <c r="A496" s="79">
        <v>12345678</v>
      </c>
      <c r="B496" s="79" t="s">
        <v>1056</v>
      </c>
      <c r="C496" s="82" t="s">
        <v>1057</v>
      </c>
      <c r="D496" s="79">
        <v>123456</v>
      </c>
      <c r="E496" s="81">
        <v>12334567000189</v>
      </c>
      <c r="F496" s="79" t="s">
        <v>60</v>
      </c>
      <c r="G496" s="79" t="s">
        <v>23</v>
      </c>
      <c r="H496" s="79">
        <v>182.93</v>
      </c>
      <c r="I496" s="79">
        <v>179.93</v>
      </c>
      <c r="J496" s="79">
        <v>3</v>
      </c>
      <c r="K496" s="79" t="s">
        <v>25</v>
      </c>
      <c r="L496" s="79" t="s">
        <v>19</v>
      </c>
      <c r="M496" s="79" t="s">
        <v>29</v>
      </c>
      <c r="N496" s="79" t="s">
        <v>20</v>
      </c>
      <c r="O496" s="79"/>
      <c r="P496" s="79">
        <v>6351</v>
      </c>
      <c r="Q496" s="79" t="s">
        <v>21</v>
      </c>
      <c r="R496" s="79" t="s">
        <v>61</v>
      </c>
      <c r="S496" s="79">
        <v>123456789</v>
      </c>
    </row>
    <row r="497" spans="1:19" x14ac:dyDescent="0.25">
      <c r="A497" s="79">
        <v>12345678</v>
      </c>
      <c r="B497" s="79" t="s">
        <v>1058</v>
      </c>
      <c r="C497" s="82" t="s">
        <v>1059</v>
      </c>
      <c r="D497" s="79">
        <v>123456</v>
      </c>
      <c r="E497" s="81">
        <v>12334567000189</v>
      </c>
      <c r="F497" s="79" t="s">
        <v>60</v>
      </c>
      <c r="G497" s="79" t="s">
        <v>23</v>
      </c>
      <c r="H497" s="79">
        <v>47.8</v>
      </c>
      <c r="I497" s="79">
        <v>45.76</v>
      </c>
      <c r="J497" s="79">
        <v>2.04</v>
      </c>
      <c r="K497" s="79" t="s">
        <v>28</v>
      </c>
      <c r="L497" s="79" t="s">
        <v>19</v>
      </c>
      <c r="M497" s="79" t="s">
        <v>26</v>
      </c>
      <c r="N497" s="79" t="s">
        <v>20</v>
      </c>
      <c r="O497" s="79"/>
      <c r="P497" s="79">
        <v>5277</v>
      </c>
      <c r="Q497" s="79" t="s">
        <v>102</v>
      </c>
      <c r="R497" s="79" t="s">
        <v>61</v>
      </c>
      <c r="S497" s="79">
        <v>123456789</v>
      </c>
    </row>
    <row r="498" spans="1:19" x14ac:dyDescent="0.25">
      <c r="A498" s="79">
        <v>12345678</v>
      </c>
      <c r="B498" s="79" t="s">
        <v>1060</v>
      </c>
      <c r="C498" s="82" t="s">
        <v>1061</v>
      </c>
      <c r="D498" s="79">
        <v>123456</v>
      </c>
      <c r="E498" s="81">
        <v>12334567000189</v>
      </c>
      <c r="F498" s="79" t="s">
        <v>60</v>
      </c>
      <c r="G498" s="79" t="s">
        <v>23</v>
      </c>
      <c r="H498" s="79">
        <v>679.04</v>
      </c>
      <c r="I498" s="79">
        <v>673.59</v>
      </c>
      <c r="J498" s="79">
        <v>5.45</v>
      </c>
      <c r="K498" s="79" t="s">
        <v>22</v>
      </c>
      <c r="L498" s="79" t="s">
        <v>19</v>
      </c>
      <c r="M498" s="79" t="s">
        <v>19</v>
      </c>
      <c r="N498" s="79" t="s">
        <v>20</v>
      </c>
      <c r="O498" s="79"/>
      <c r="P498" s="79">
        <v>5114</v>
      </c>
      <c r="Q498" s="79" t="s">
        <v>21</v>
      </c>
      <c r="R498" s="79" t="s">
        <v>61</v>
      </c>
      <c r="S498" s="79">
        <v>123456789</v>
      </c>
    </row>
    <row r="499" spans="1:19" x14ac:dyDescent="0.25">
      <c r="A499" s="79">
        <v>12345678</v>
      </c>
      <c r="B499" s="79" t="s">
        <v>1062</v>
      </c>
      <c r="C499" s="82" t="s">
        <v>1063</v>
      </c>
      <c r="D499" s="79">
        <v>123456</v>
      </c>
      <c r="E499" s="81">
        <v>12334567000189</v>
      </c>
      <c r="F499" s="79" t="s">
        <v>60</v>
      </c>
      <c r="G499" s="79" t="s">
        <v>23</v>
      </c>
      <c r="H499" s="79">
        <v>27.23</v>
      </c>
      <c r="I499" s="79">
        <v>26.36</v>
      </c>
      <c r="J499" s="79">
        <v>0.87</v>
      </c>
      <c r="K499" s="79" t="s">
        <v>28</v>
      </c>
      <c r="L499" s="79" t="s">
        <v>19</v>
      </c>
      <c r="M499" s="79" t="s">
        <v>89</v>
      </c>
      <c r="N499" s="79" t="s">
        <v>20</v>
      </c>
      <c r="O499" s="79"/>
      <c r="P499" s="79">
        <v>2665</v>
      </c>
      <c r="Q499" s="79" t="s">
        <v>21</v>
      </c>
      <c r="R499" s="79" t="s">
        <v>61</v>
      </c>
      <c r="S499" s="79">
        <v>123456789</v>
      </c>
    </row>
    <row r="500" spans="1:19" x14ac:dyDescent="0.25">
      <c r="A500" s="79">
        <v>12345678</v>
      </c>
      <c r="B500" s="79" t="s">
        <v>1064</v>
      </c>
      <c r="C500" s="82" t="s">
        <v>1065</v>
      </c>
      <c r="D500" s="79">
        <v>123456</v>
      </c>
      <c r="E500" s="81">
        <v>12334567000189</v>
      </c>
      <c r="F500" s="79" t="s">
        <v>60</v>
      </c>
      <c r="G500" s="79" t="s">
        <v>23</v>
      </c>
      <c r="H500" s="79">
        <v>33.119999999999997</v>
      </c>
      <c r="I500" s="79">
        <v>32.1</v>
      </c>
      <c r="J500" s="79">
        <v>1.02</v>
      </c>
      <c r="K500" s="79" t="s">
        <v>28</v>
      </c>
      <c r="L500" s="79" t="s">
        <v>19</v>
      </c>
      <c r="M500" s="79" t="s">
        <v>26</v>
      </c>
      <c r="N500" s="79" t="s">
        <v>20</v>
      </c>
      <c r="O500" s="79"/>
      <c r="P500" s="79">
        <v>8200</v>
      </c>
      <c r="Q500" s="79" t="s">
        <v>21</v>
      </c>
      <c r="R500" s="79" t="s">
        <v>61</v>
      </c>
      <c r="S500" s="79">
        <v>123456789</v>
      </c>
    </row>
    <row r="501" spans="1:19" x14ac:dyDescent="0.25">
      <c r="A501" s="79">
        <v>12345678</v>
      </c>
      <c r="B501" s="79" t="s">
        <v>1066</v>
      </c>
      <c r="C501" s="82" t="s">
        <v>1067</v>
      </c>
      <c r="D501" s="79">
        <v>123456</v>
      </c>
      <c r="E501" s="81">
        <v>12334567000189</v>
      </c>
      <c r="F501" s="79" t="s">
        <v>60</v>
      </c>
      <c r="G501" s="79" t="s">
        <v>23</v>
      </c>
      <c r="H501" s="79">
        <v>562.09</v>
      </c>
      <c r="I501" s="79">
        <v>557.26</v>
      </c>
      <c r="J501" s="79">
        <v>4.83</v>
      </c>
      <c r="K501" s="79" t="s">
        <v>22</v>
      </c>
      <c r="L501" s="79" t="s">
        <v>19</v>
      </c>
      <c r="M501" s="79" t="s">
        <v>19</v>
      </c>
      <c r="N501" s="79" t="s">
        <v>20</v>
      </c>
      <c r="O501" s="79"/>
      <c r="P501" s="79">
        <v>2113</v>
      </c>
      <c r="Q501" s="79" t="s">
        <v>21</v>
      </c>
      <c r="R501" s="79" t="s">
        <v>61</v>
      </c>
      <c r="S501" s="79">
        <v>123456789</v>
      </c>
    </row>
  </sheetData>
  <phoneticPr fontId="9" type="noConversion"/>
  <pageMargins left="0.7" right="0.7" top="0.75" bottom="0.75" header="0.3" footer="0.3"/>
  <pageSetup paperSize="159" orientation="portrait" horizontalDpi="203" verticalDpi="20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1"/>
  <sheetViews>
    <sheetView workbookViewId="0">
      <selection activeCell="C506" sqref="C506"/>
    </sheetView>
  </sheetViews>
  <sheetFormatPr defaultRowHeight="15" x14ac:dyDescent="0.25"/>
  <cols>
    <col min="1" max="1" width="18.5703125" style="1" customWidth="1"/>
    <col min="2" max="2" width="21.85546875" style="1" customWidth="1"/>
    <col min="3" max="3" width="21.5703125" style="1" customWidth="1"/>
    <col min="4" max="16384" width="9.140625" style="1"/>
  </cols>
  <sheetData>
    <row r="1" spans="1:3" x14ac:dyDescent="0.25">
      <c r="A1" s="13" t="s">
        <v>35</v>
      </c>
      <c r="B1" s="1" t="s">
        <v>34</v>
      </c>
      <c r="C1" s="1" t="s">
        <v>33</v>
      </c>
    </row>
    <row r="2" spans="1:3" x14ac:dyDescent="0.25">
      <c r="A2" s="87">
        <v>46212.333587963003</v>
      </c>
      <c r="B2" s="86" t="s">
        <v>30</v>
      </c>
      <c r="C2" s="88">
        <v>346.02</v>
      </c>
    </row>
    <row r="3" spans="1:3" x14ac:dyDescent="0.25">
      <c r="A3" s="87">
        <v>46212.3336458333</v>
      </c>
      <c r="B3" s="86" t="s">
        <v>32</v>
      </c>
      <c r="C3" s="88">
        <v>281.05</v>
      </c>
    </row>
    <row r="4" spans="1:3" x14ac:dyDescent="0.25">
      <c r="A4" s="87">
        <v>46212.3354861111</v>
      </c>
      <c r="B4" s="86" t="s">
        <v>30</v>
      </c>
      <c r="C4" s="88">
        <v>165.81</v>
      </c>
    </row>
    <row r="5" spans="1:3" x14ac:dyDescent="0.25">
      <c r="A5" s="87">
        <v>46212.335625</v>
      </c>
      <c r="B5" s="86" t="s">
        <v>31</v>
      </c>
      <c r="C5" s="88">
        <v>152.46</v>
      </c>
    </row>
    <row r="6" spans="1:3" x14ac:dyDescent="0.25">
      <c r="A6" s="87">
        <v>46212.337974536997</v>
      </c>
      <c r="B6" s="86" t="s">
        <v>30</v>
      </c>
      <c r="C6" s="88">
        <v>295.14999999999998</v>
      </c>
    </row>
    <row r="7" spans="1:3" x14ac:dyDescent="0.25">
      <c r="A7" s="87">
        <v>46212.339155092603</v>
      </c>
      <c r="B7" s="86" t="s">
        <v>32</v>
      </c>
      <c r="C7" s="88">
        <v>538.89</v>
      </c>
    </row>
    <row r="8" spans="1:3" x14ac:dyDescent="0.25">
      <c r="A8" s="87">
        <v>46212.340277777803</v>
      </c>
      <c r="B8" s="86" t="s">
        <v>32</v>
      </c>
      <c r="C8" s="88">
        <v>197.07</v>
      </c>
    </row>
    <row r="9" spans="1:3" x14ac:dyDescent="0.25">
      <c r="A9" s="87">
        <v>46212.342071759304</v>
      </c>
      <c r="B9" s="86" t="s">
        <v>31</v>
      </c>
      <c r="C9" s="88">
        <v>59.22</v>
      </c>
    </row>
    <row r="10" spans="1:3" x14ac:dyDescent="0.25">
      <c r="A10" s="87">
        <v>46212.342141203699</v>
      </c>
      <c r="B10" s="86" t="s">
        <v>32</v>
      </c>
      <c r="C10" s="88">
        <v>623.34</v>
      </c>
    </row>
    <row r="11" spans="1:3" x14ac:dyDescent="0.25">
      <c r="A11" s="87">
        <v>46212.3436574074</v>
      </c>
      <c r="B11" s="86" t="s">
        <v>31</v>
      </c>
      <c r="C11" s="88">
        <v>838.64</v>
      </c>
    </row>
    <row r="12" spans="1:3" x14ac:dyDescent="0.25">
      <c r="A12" s="87">
        <v>46212.344212962998</v>
      </c>
      <c r="B12" s="86" t="s">
        <v>32</v>
      </c>
      <c r="C12" s="88">
        <v>167.44</v>
      </c>
    </row>
    <row r="13" spans="1:3" x14ac:dyDescent="0.25">
      <c r="A13" s="87">
        <v>46212.344444444498</v>
      </c>
      <c r="B13" s="86" t="s">
        <v>31</v>
      </c>
      <c r="C13" s="88">
        <v>237.37</v>
      </c>
    </row>
    <row r="14" spans="1:3" x14ac:dyDescent="0.25">
      <c r="A14" s="87">
        <v>46212.344710648198</v>
      </c>
      <c r="B14" s="86" t="s">
        <v>30</v>
      </c>
      <c r="C14" s="88">
        <v>452.96</v>
      </c>
    </row>
    <row r="15" spans="1:3" x14ac:dyDescent="0.25">
      <c r="A15" s="87">
        <v>46212.349965277797</v>
      </c>
      <c r="B15" s="86" t="s">
        <v>31</v>
      </c>
      <c r="C15" s="88">
        <v>122.12</v>
      </c>
    </row>
    <row r="16" spans="1:3" x14ac:dyDescent="0.25">
      <c r="A16" s="87">
        <v>46212.350057870397</v>
      </c>
      <c r="B16" s="86" t="s">
        <v>30</v>
      </c>
      <c r="C16" s="88">
        <v>1095</v>
      </c>
    </row>
    <row r="17" spans="1:3" x14ac:dyDescent="0.25">
      <c r="A17" s="87">
        <v>46212.350324074097</v>
      </c>
      <c r="B17" s="86" t="s">
        <v>32</v>
      </c>
      <c r="C17" s="88">
        <v>460.06</v>
      </c>
    </row>
    <row r="18" spans="1:3" x14ac:dyDescent="0.25">
      <c r="A18" s="87">
        <v>46212.352118055598</v>
      </c>
      <c r="B18" s="86" t="s">
        <v>30</v>
      </c>
      <c r="C18" s="88">
        <v>76.56</v>
      </c>
    </row>
    <row r="19" spans="1:3" x14ac:dyDescent="0.25">
      <c r="A19" s="87">
        <v>46212.352766203701</v>
      </c>
      <c r="B19" s="86" t="s">
        <v>32</v>
      </c>
      <c r="C19" s="88">
        <v>277.04000000000002</v>
      </c>
    </row>
    <row r="20" spans="1:3" x14ac:dyDescent="0.25">
      <c r="A20" s="87">
        <v>46212.352812500001</v>
      </c>
      <c r="B20" s="86" t="s">
        <v>31</v>
      </c>
      <c r="C20" s="88">
        <v>40.11</v>
      </c>
    </row>
    <row r="21" spans="1:3" x14ac:dyDescent="0.25">
      <c r="A21" s="87">
        <v>46212.353287037004</v>
      </c>
      <c r="B21" s="86" t="s">
        <v>32</v>
      </c>
      <c r="C21" s="88">
        <v>564.32000000000005</v>
      </c>
    </row>
    <row r="22" spans="1:3" x14ac:dyDescent="0.25">
      <c r="A22" s="87">
        <v>46212.354131944398</v>
      </c>
      <c r="B22" s="86" t="s">
        <v>32</v>
      </c>
      <c r="C22" s="88">
        <v>29.42</v>
      </c>
    </row>
    <row r="23" spans="1:3" x14ac:dyDescent="0.25">
      <c r="A23" s="87">
        <v>46212.354375000003</v>
      </c>
      <c r="B23" s="86" t="s">
        <v>32</v>
      </c>
      <c r="C23" s="88">
        <v>1067.31</v>
      </c>
    </row>
    <row r="24" spans="1:3" x14ac:dyDescent="0.25">
      <c r="A24" s="87">
        <v>46212.354756944398</v>
      </c>
      <c r="B24" s="86" t="s">
        <v>32</v>
      </c>
      <c r="C24" s="88">
        <v>114.24</v>
      </c>
    </row>
    <row r="25" spans="1:3" x14ac:dyDescent="0.25">
      <c r="A25" s="87">
        <v>46212.355243055601</v>
      </c>
      <c r="B25" s="86" t="s">
        <v>32</v>
      </c>
      <c r="C25" s="88">
        <v>164.2</v>
      </c>
    </row>
    <row r="26" spans="1:3" x14ac:dyDescent="0.25">
      <c r="A26" s="87">
        <v>46212.355462963002</v>
      </c>
      <c r="B26" s="86" t="s">
        <v>31</v>
      </c>
      <c r="C26" s="88">
        <v>713.06</v>
      </c>
    </row>
    <row r="27" spans="1:3" x14ac:dyDescent="0.25">
      <c r="A27" s="87">
        <v>46212.356493055602</v>
      </c>
      <c r="B27" s="86" t="s">
        <v>32</v>
      </c>
      <c r="C27" s="88">
        <v>140.6</v>
      </c>
    </row>
    <row r="28" spans="1:3" x14ac:dyDescent="0.25">
      <c r="A28" s="87">
        <v>46212.357175925899</v>
      </c>
      <c r="B28" s="86" t="s">
        <v>31</v>
      </c>
      <c r="C28" s="88">
        <v>196.12</v>
      </c>
    </row>
    <row r="29" spans="1:3" x14ac:dyDescent="0.25">
      <c r="A29" s="87">
        <v>46212.357268518499</v>
      </c>
      <c r="B29" s="86" t="s">
        <v>31</v>
      </c>
      <c r="C29" s="88">
        <v>735.62</v>
      </c>
    </row>
    <row r="30" spans="1:3" x14ac:dyDescent="0.25">
      <c r="A30" s="87">
        <v>46212.3620717593</v>
      </c>
      <c r="B30" s="86" t="s">
        <v>32</v>
      </c>
      <c r="C30" s="88">
        <v>45.77</v>
      </c>
    </row>
    <row r="31" spans="1:3" x14ac:dyDescent="0.25">
      <c r="A31" s="87">
        <v>46212.3644907407</v>
      </c>
      <c r="B31" s="86" t="s">
        <v>32</v>
      </c>
      <c r="C31" s="88">
        <v>1207.5</v>
      </c>
    </row>
    <row r="32" spans="1:3" x14ac:dyDescent="0.25">
      <c r="A32" s="87">
        <v>46212.365057870396</v>
      </c>
      <c r="B32" s="86" t="s">
        <v>32</v>
      </c>
      <c r="C32" s="88">
        <v>121.94</v>
      </c>
    </row>
    <row r="33" spans="1:3" x14ac:dyDescent="0.25">
      <c r="A33" s="87">
        <v>46212.365405092598</v>
      </c>
      <c r="B33" s="86" t="s">
        <v>31</v>
      </c>
      <c r="C33" s="88">
        <v>296.57</v>
      </c>
    </row>
    <row r="34" spans="1:3" x14ac:dyDescent="0.25">
      <c r="A34" s="87">
        <v>46212.366041666697</v>
      </c>
      <c r="B34" s="86" t="s">
        <v>32</v>
      </c>
      <c r="C34" s="88">
        <v>266.58999999999997</v>
      </c>
    </row>
    <row r="35" spans="1:3" x14ac:dyDescent="0.25">
      <c r="A35" s="87">
        <v>46212.366539351897</v>
      </c>
      <c r="B35" s="86" t="s">
        <v>31</v>
      </c>
      <c r="C35" s="88">
        <v>98.76</v>
      </c>
    </row>
    <row r="36" spans="1:3" x14ac:dyDescent="0.25">
      <c r="A36" s="87">
        <v>46212.366712962998</v>
      </c>
      <c r="B36" s="86" t="s">
        <v>30</v>
      </c>
      <c r="C36" s="88">
        <v>213.89</v>
      </c>
    </row>
    <row r="37" spans="1:3" x14ac:dyDescent="0.25">
      <c r="A37" s="87">
        <v>46212.367071759298</v>
      </c>
      <c r="B37" s="86" t="s">
        <v>31</v>
      </c>
      <c r="C37" s="88">
        <v>253.53</v>
      </c>
    </row>
    <row r="38" spans="1:3" x14ac:dyDescent="0.25">
      <c r="A38" s="87">
        <v>46212.3675925926</v>
      </c>
      <c r="B38" s="86" t="s">
        <v>31</v>
      </c>
      <c r="C38" s="88">
        <v>77.44</v>
      </c>
    </row>
    <row r="39" spans="1:3" x14ac:dyDescent="0.25">
      <c r="A39" s="87">
        <v>46212.368842592601</v>
      </c>
      <c r="B39" s="86" t="s">
        <v>31</v>
      </c>
      <c r="C39" s="88">
        <v>891.9</v>
      </c>
    </row>
    <row r="40" spans="1:3" x14ac:dyDescent="0.25">
      <c r="A40" s="87">
        <v>46212.368946759299</v>
      </c>
      <c r="B40" s="86" t="s">
        <v>32</v>
      </c>
      <c r="C40" s="88">
        <v>1326.28</v>
      </c>
    </row>
    <row r="41" spans="1:3" x14ac:dyDescent="0.25">
      <c r="A41" s="87">
        <v>46212.369085648199</v>
      </c>
      <c r="B41" s="86" t="s">
        <v>32</v>
      </c>
      <c r="C41" s="88">
        <v>69.08</v>
      </c>
    </row>
    <row r="42" spans="1:3" x14ac:dyDescent="0.25">
      <c r="A42" s="87">
        <v>46212.369803240697</v>
      </c>
      <c r="B42" s="86" t="s">
        <v>31</v>
      </c>
      <c r="C42" s="88">
        <v>140.36000000000001</v>
      </c>
    </row>
    <row r="43" spans="1:3" x14ac:dyDescent="0.25">
      <c r="A43" s="87">
        <v>46212.370578703703</v>
      </c>
      <c r="B43" s="86" t="s">
        <v>32</v>
      </c>
      <c r="C43" s="88">
        <v>239.78</v>
      </c>
    </row>
    <row r="44" spans="1:3" x14ac:dyDescent="0.25">
      <c r="A44" s="87">
        <v>46212.370613425897</v>
      </c>
      <c r="B44" s="86" t="s">
        <v>32</v>
      </c>
      <c r="C44" s="88">
        <v>197.36</v>
      </c>
    </row>
    <row r="45" spans="1:3" x14ac:dyDescent="0.25">
      <c r="A45" s="87">
        <v>46212.370717592603</v>
      </c>
      <c r="B45" s="86" t="s">
        <v>32</v>
      </c>
      <c r="C45" s="88">
        <v>276.79000000000002</v>
      </c>
    </row>
    <row r="46" spans="1:3" x14ac:dyDescent="0.25">
      <c r="A46" s="87">
        <v>46212.371249999997</v>
      </c>
      <c r="B46" s="86" t="s">
        <v>32</v>
      </c>
      <c r="C46" s="88">
        <v>426.05</v>
      </c>
    </row>
    <row r="47" spans="1:3" x14ac:dyDescent="0.25">
      <c r="A47" s="87">
        <v>46212.371273148201</v>
      </c>
      <c r="B47" s="86" t="s">
        <v>32</v>
      </c>
      <c r="C47" s="88">
        <v>854.49</v>
      </c>
    </row>
    <row r="48" spans="1:3" x14ac:dyDescent="0.25">
      <c r="A48" s="87">
        <v>46212.372002314798</v>
      </c>
      <c r="B48" s="86" t="s">
        <v>31</v>
      </c>
      <c r="C48" s="88">
        <v>71.510000000000005</v>
      </c>
    </row>
    <row r="49" spans="1:3" x14ac:dyDescent="0.25">
      <c r="A49" s="87">
        <v>46212.373888888898</v>
      </c>
      <c r="B49" s="86" t="s">
        <v>32</v>
      </c>
      <c r="C49" s="88">
        <v>43.92</v>
      </c>
    </row>
    <row r="50" spans="1:3" x14ac:dyDescent="0.25">
      <c r="A50" s="87">
        <v>46212.374062499999</v>
      </c>
      <c r="B50" s="86" t="s">
        <v>32</v>
      </c>
      <c r="C50" s="88">
        <v>10.61</v>
      </c>
    </row>
    <row r="51" spans="1:3" x14ac:dyDescent="0.25">
      <c r="A51" s="87">
        <v>46212.374432870398</v>
      </c>
      <c r="B51" s="86" t="s">
        <v>32</v>
      </c>
      <c r="C51" s="88">
        <v>143.78</v>
      </c>
    </row>
    <row r="52" spans="1:3" x14ac:dyDescent="0.25">
      <c r="A52" s="87">
        <v>46212.374988425901</v>
      </c>
      <c r="B52" s="86" t="s">
        <v>32</v>
      </c>
      <c r="C52" s="88">
        <v>18.64</v>
      </c>
    </row>
    <row r="53" spans="1:3" x14ac:dyDescent="0.25">
      <c r="A53" s="87">
        <v>46212.375659722202</v>
      </c>
      <c r="B53" s="86" t="s">
        <v>31</v>
      </c>
      <c r="C53" s="88">
        <v>261.67</v>
      </c>
    </row>
    <row r="54" spans="1:3" x14ac:dyDescent="0.25">
      <c r="A54" s="87">
        <v>46212.377766203703</v>
      </c>
      <c r="B54" s="86" t="s">
        <v>30</v>
      </c>
      <c r="C54" s="88">
        <v>217.31</v>
      </c>
    </row>
    <row r="55" spans="1:3" x14ac:dyDescent="0.25">
      <c r="A55" s="87">
        <v>46212.378819444399</v>
      </c>
      <c r="B55" s="86" t="s">
        <v>32</v>
      </c>
      <c r="C55" s="88">
        <v>247.17</v>
      </c>
    </row>
    <row r="56" spans="1:3" x14ac:dyDescent="0.25">
      <c r="A56" s="87">
        <v>46212.380138888897</v>
      </c>
      <c r="B56" s="86" t="s">
        <v>32</v>
      </c>
      <c r="C56" s="88">
        <v>36.950000000000003</v>
      </c>
    </row>
    <row r="57" spans="1:3" x14ac:dyDescent="0.25">
      <c r="A57" s="87">
        <v>46212.380254629599</v>
      </c>
      <c r="B57" s="86" t="s">
        <v>32</v>
      </c>
      <c r="C57" s="88">
        <v>270.33999999999997</v>
      </c>
    </row>
    <row r="58" spans="1:3" x14ac:dyDescent="0.25">
      <c r="A58" s="87">
        <v>46212.381249999999</v>
      </c>
      <c r="B58" s="86" t="s">
        <v>32</v>
      </c>
      <c r="C58" s="88">
        <v>80.75</v>
      </c>
    </row>
    <row r="59" spans="1:3" x14ac:dyDescent="0.25">
      <c r="A59" s="87">
        <v>46212.381423611099</v>
      </c>
      <c r="B59" s="86" t="s">
        <v>30</v>
      </c>
      <c r="C59" s="88">
        <v>228.98</v>
      </c>
    </row>
    <row r="60" spans="1:3" x14ac:dyDescent="0.25">
      <c r="A60" s="87">
        <v>46212.3824537037</v>
      </c>
      <c r="B60" s="86" t="s">
        <v>31</v>
      </c>
      <c r="C60" s="88">
        <v>237.08</v>
      </c>
    </row>
    <row r="61" spans="1:3" x14ac:dyDescent="0.25">
      <c r="A61" s="87">
        <v>46212.3827199074</v>
      </c>
      <c r="B61" s="86" t="s">
        <v>31</v>
      </c>
      <c r="C61" s="88">
        <v>50.09</v>
      </c>
    </row>
    <row r="62" spans="1:3" x14ac:dyDescent="0.25">
      <c r="A62" s="87">
        <v>46212.382881944497</v>
      </c>
      <c r="B62" s="86" t="s">
        <v>32</v>
      </c>
      <c r="C62" s="88">
        <v>294.91000000000003</v>
      </c>
    </row>
    <row r="63" spans="1:3" x14ac:dyDescent="0.25">
      <c r="A63" s="87">
        <v>46212.3832175926</v>
      </c>
      <c r="B63" s="86" t="s">
        <v>32</v>
      </c>
      <c r="C63" s="88">
        <v>38.32</v>
      </c>
    </row>
    <row r="64" spans="1:3" x14ac:dyDescent="0.25">
      <c r="A64" s="87">
        <v>46212.384143518502</v>
      </c>
      <c r="B64" s="86" t="s">
        <v>32</v>
      </c>
      <c r="C64" s="88">
        <v>298.43</v>
      </c>
    </row>
    <row r="65" spans="1:3" x14ac:dyDescent="0.25">
      <c r="A65" s="87">
        <v>46212.384398148199</v>
      </c>
      <c r="B65" s="86" t="s">
        <v>32</v>
      </c>
      <c r="C65" s="88">
        <v>275.64</v>
      </c>
    </row>
    <row r="66" spans="1:3" x14ac:dyDescent="0.25">
      <c r="A66" s="87">
        <v>46212.385023148199</v>
      </c>
      <c r="B66" s="86" t="s">
        <v>32</v>
      </c>
      <c r="C66" s="88">
        <v>467.37</v>
      </c>
    </row>
    <row r="67" spans="1:3" x14ac:dyDescent="0.25">
      <c r="A67" s="87">
        <v>46212.386712963002</v>
      </c>
      <c r="B67" s="86" t="s">
        <v>32</v>
      </c>
      <c r="C67" s="88">
        <v>119.96</v>
      </c>
    </row>
    <row r="68" spans="1:3" x14ac:dyDescent="0.25">
      <c r="A68" s="87">
        <v>46212.386886574102</v>
      </c>
      <c r="B68" s="86" t="s">
        <v>31</v>
      </c>
      <c r="C68" s="88">
        <v>271.85000000000002</v>
      </c>
    </row>
    <row r="69" spans="1:3" x14ac:dyDescent="0.25">
      <c r="A69" s="87">
        <v>46212.389351851903</v>
      </c>
      <c r="B69" s="86" t="s">
        <v>32</v>
      </c>
      <c r="C69" s="88">
        <v>270.10000000000002</v>
      </c>
    </row>
    <row r="70" spans="1:3" x14ac:dyDescent="0.25">
      <c r="A70" s="87">
        <v>46212.3910763889</v>
      </c>
      <c r="B70" s="86" t="s">
        <v>32</v>
      </c>
      <c r="C70" s="88">
        <v>31.41</v>
      </c>
    </row>
    <row r="71" spans="1:3" x14ac:dyDescent="0.25">
      <c r="A71" s="87">
        <v>46212.392951388902</v>
      </c>
      <c r="B71" s="86" t="s">
        <v>30</v>
      </c>
      <c r="C71" s="88">
        <v>117.58</v>
      </c>
    </row>
    <row r="72" spans="1:3" x14ac:dyDescent="0.25">
      <c r="A72" s="87">
        <v>46212.393298611103</v>
      </c>
      <c r="B72" s="86" t="s">
        <v>30</v>
      </c>
      <c r="C72" s="88">
        <v>214.18</v>
      </c>
    </row>
    <row r="73" spans="1:3" x14ac:dyDescent="0.25">
      <c r="A73" s="87">
        <v>46212.393356481502</v>
      </c>
      <c r="B73" s="86" t="s">
        <v>30</v>
      </c>
      <c r="C73" s="88">
        <v>892.07</v>
      </c>
    </row>
    <row r="74" spans="1:3" x14ac:dyDescent="0.25">
      <c r="A74" s="87">
        <v>46212.393715277802</v>
      </c>
      <c r="B74" s="86" t="s">
        <v>32</v>
      </c>
      <c r="C74" s="88">
        <v>103.94</v>
      </c>
    </row>
    <row r="75" spans="1:3" x14ac:dyDescent="0.25">
      <c r="A75" s="87">
        <v>46212.396666666697</v>
      </c>
      <c r="B75" s="86" t="s">
        <v>32</v>
      </c>
      <c r="C75" s="88">
        <v>849.78</v>
      </c>
    </row>
    <row r="76" spans="1:3" x14ac:dyDescent="0.25">
      <c r="A76" s="87">
        <v>46212.396805555603</v>
      </c>
      <c r="B76" s="86" t="s">
        <v>32</v>
      </c>
      <c r="C76" s="88">
        <v>22.17</v>
      </c>
    </row>
    <row r="77" spans="1:3" x14ac:dyDescent="0.25">
      <c r="A77" s="87">
        <v>46212.397071759297</v>
      </c>
      <c r="B77" s="86" t="s">
        <v>31</v>
      </c>
      <c r="C77" s="88">
        <v>172.89</v>
      </c>
    </row>
    <row r="78" spans="1:3" x14ac:dyDescent="0.25">
      <c r="A78" s="87">
        <v>46212.3978935185</v>
      </c>
      <c r="B78" s="86" t="s">
        <v>32</v>
      </c>
      <c r="C78" s="88">
        <v>68.67</v>
      </c>
    </row>
    <row r="79" spans="1:3" x14ac:dyDescent="0.25">
      <c r="A79" s="87">
        <v>46212.400405092601</v>
      </c>
      <c r="B79" s="86" t="s">
        <v>31</v>
      </c>
      <c r="C79" s="88">
        <v>220.43</v>
      </c>
    </row>
    <row r="80" spans="1:3" x14ac:dyDescent="0.25">
      <c r="A80" s="87">
        <v>46212.400856481501</v>
      </c>
      <c r="B80" s="86" t="s">
        <v>31</v>
      </c>
      <c r="C80" s="88">
        <v>122.64</v>
      </c>
    </row>
    <row r="81" spans="1:3" x14ac:dyDescent="0.25">
      <c r="A81" s="87">
        <v>46212.400972222204</v>
      </c>
      <c r="B81" s="86" t="s">
        <v>32</v>
      </c>
      <c r="C81" s="88">
        <v>77.88</v>
      </c>
    </row>
    <row r="82" spans="1:3" x14ac:dyDescent="0.25">
      <c r="A82" s="87">
        <v>46212.401817129597</v>
      </c>
      <c r="B82" s="86" t="s">
        <v>32</v>
      </c>
      <c r="C82" s="88">
        <v>270.33</v>
      </c>
    </row>
    <row r="83" spans="1:3" x14ac:dyDescent="0.25">
      <c r="A83" s="87">
        <v>46212.402731481503</v>
      </c>
      <c r="B83" s="86" t="s">
        <v>31</v>
      </c>
      <c r="C83" s="88">
        <v>298.55</v>
      </c>
    </row>
    <row r="84" spans="1:3" x14ac:dyDescent="0.25">
      <c r="A84" s="87">
        <v>46212.403333333299</v>
      </c>
      <c r="B84" s="86" t="s">
        <v>31</v>
      </c>
      <c r="C84" s="88">
        <v>188.17</v>
      </c>
    </row>
    <row r="85" spans="1:3" x14ac:dyDescent="0.25">
      <c r="A85" s="87">
        <v>46212.404398148101</v>
      </c>
      <c r="B85" s="86" t="s">
        <v>32</v>
      </c>
      <c r="C85" s="88">
        <v>181.49</v>
      </c>
    </row>
    <row r="86" spans="1:3" x14ac:dyDescent="0.25">
      <c r="A86" s="87">
        <v>46212.404930555596</v>
      </c>
      <c r="B86" s="86" t="s">
        <v>32</v>
      </c>
      <c r="C86" s="88">
        <v>32.479999999999997</v>
      </c>
    </row>
    <row r="87" spans="1:3" x14ac:dyDescent="0.25">
      <c r="A87" s="87">
        <v>46212.405451388899</v>
      </c>
      <c r="B87" s="86" t="s">
        <v>32</v>
      </c>
      <c r="C87" s="88">
        <v>211.03</v>
      </c>
    </row>
    <row r="88" spans="1:3" x14ac:dyDescent="0.25">
      <c r="A88" s="87">
        <v>46212.406828703701</v>
      </c>
      <c r="B88" s="86" t="s">
        <v>32</v>
      </c>
      <c r="C88" s="88">
        <v>35.22</v>
      </c>
    </row>
    <row r="89" spans="1:3" x14ac:dyDescent="0.25">
      <c r="A89" s="87">
        <v>46212.407175925902</v>
      </c>
      <c r="B89" s="86" t="s">
        <v>32</v>
      </c>
      <c r="C89" s="88">
        <v>296.58999999999997</v>
      </c>
    </row>
    <row r="90" spans="1:3" x14ac:dyDescent="0.25">
      <c r="A90" s="87">
        <v>46212.408854166701</v>
      </c>
      <c r="B90" s="86" t="s">
        <v>32</v>
      </c>
      <c r="C90" s="88">
        <v>1213.19</v>
      </c>
    </row>
    <row r="91" spans="1:3" x14ac:dyDescent="0.25">
      <c r="A91" s="87">
        <v>46212.409120370401</v>
      </c>
      <c r="B91" s="86" t="s">
        <v>31</v>
      </c>
      <c r="C91" s="88">
        <v>528.08000000000004</v>
      </c>
    </row>
    <row r="92" spans="1:3" x14ac:dyDescent="0.25">
      <c r="A92" s="87">
        <v>46212.409189814804</v>
      </c>
      <c r="B92" s="86" t="s">
        <v>32</v>
      </c>
      <c r="C92" s="88">
        <v>257.89</v>
      </c>
    </row>
    <row r="93" spans="1:3" x14ac:dyDescent="0.25">
      <c r="A93" s="87">
        <v>46212.410740740699</v>
      </c>
      <c r="B93" s="86" t="s">
        <v>31</v>
      </c>
      <c r="C93" s="88">
        <v>1242.98</v>
      </c>
    </row>
    <row r="94" spans="1:3" x14ac:dyDescent="0.25">
      <c r="A94" s="87">
        <v>46212.410856481503</v>
      </c>
      <c r="B94" s="86" t="s">
        <v>30</v>
      </c>
      <c r="C94" s="88">
        <v>770.38</v>
      </c>
    </row>
    <row r="95" spans="1:3" x14ac:dyDescent="0.25">
      <c r="A95" s="87">
        <v>46212.411956018499</v>
      </c>
      <c r="B95" s="86" t="s">
        <v>32</v>
      </c>
      <c r="C95" s="88">
        <v>291.74</v>
      </c>
    </row>
    <row r="96" spans="1:3" x14ac:dyDescent="0.25">
      <c r="A96" s="87">
        <v>46212.412662037001</v>
      </c>
      <c r="B96" s="86" t="s">
        <v>32</v>
      </c>
      <c r="C96" s="88">
        <v>94.33</v>
      </c>
    </row>
    <row r="97" spans="1:3" x14ac:dyDescent="0.25">
      <c r="A97" s="87">
        <v>46212.413495370398</v>
      </c>
      <c r="B97" s="86" t="s">
        <v>32</v>
      </c>
      <c r="C97" s="88">
        <v>151.6</v>
      </c>
    </row>
    <row r="98" spans="1:3" x14ac:dyDescent="0.25">
      <c r="A98" s="87">
        <v>46212.414490740703</v>
      </c>
      <c r="B98" s="86" t="s">
        <v>32</v>
      </c>
      <c r="C98" s="88">
        <v>31.64</v>
      </c>
    </row>
    <row r="99" spans="1:3" x14ac:dyDescent="0.25">
      <c r="A99" s="87">
        <v>46212.415219907401</v>
      </c>
      <c r="B99" s="86" t="s">
        <v>32</v>
      </c>
      <c r="C99" s="88">
        <v>197.04</v>
      </c>
    </row>
    <row r="100" spans="1:3" x14ac:dyDescent="0.25">
      <c r="A100" s="87">
        <v>46212.415509259299</v>
      </c>
      <c r="B100" s="86" t="s">
        <v>32</v>
      </c>
      <c r="C100" s="88">
        <v>216.7</v>
      </c>
    </row>
    <row r="101" spans="1:3" x14ac:dyDescent="0.25">
      <c r="A101" s="87">
        <v>46212.415555555599</v>
      </c>
      <c r="B101" s="86" t="s">
        <v>32</v>
      </c>
      <c r="C101" s="88">
        <v>87.22</v>
      </c>
    </row>
    <row r="102" spans="1:3" x14ac:dyDescent="0.25">
      <c r="A102" s="87">
        <v>46212.417256944398</v>
      </c>
      <c r="B102" s="86" t="s">
        <v>32</v>
      </c>
      <c r="C102" s="88">
        <v>148.47999999999999</v>
      </c>
    </row>
    <row r="103" spans="1:3" x14ac:dyDescent="0.25">
      <c r="A103" s="87">
        <v>46212.417453703703</v>
      </c>
      <c r="B103" s="86" t="s">
        <v>32</v>
      </c>
      <c r="C103" s="88">
        <v>25.48</v>
      </c>
    </row>
    <row r="104" spans="1:3" x14ac:dyDescent="0.25">
      <c r="A104" s="87">
        <v>46212.418252314797</v>
      </c>
      <c r="B104" s="86" t="s">
        <v>31</v>
      </c>
      <c r="C104" s="88">
        <v>1430.33</v>
      </c>
    </row>
    <row r="105" spans="1:3" x14ac:dyDescent="0.25">
      <c r="A105" s="87">
        <v>46212.418657407397</v>
      </c>
      <c r="B105" s="86" t="s">
        <v>31</v>
      </c>
      <c r="C105" s="88">
        <v>275.70999999999998</v>
      </c>
    </row>
    <row r="106" spans="1:3" x14ac:dyDescent="0.25">
      <c r="A106" s="87">
        <v>46212.419004629599</v>
      </c>
      <c r="B106" s="86" t="s">
        <v>32</v>
      </c>
      <c r="C106" s="88">
        <v>207.49</v>
      </c>
    </row>
    <row r="107" spans="1:3" x14ac:dyDescent="0.25">
      <c r="A107" s="87">
        <v>46212.419340277796</v>
      </c>
      <c r="B107" s="86" t="s">
        <v>32</v>
      </c>
      <c r="C107" s="88">
        <v>327.22000000000003</v>
      </c>
    </row>
    <row r="108" spans="1:3" x14ac:dyDescent="0.25">
      <c r="A108" s="87">
        <v>46212.4197569444</v>
      </c>
      <c r="B108" s="86" t="s">
        <v>32</v>
      </c>
      <c r="C108" s="88">
        <v>10.84</v>
      </c>
    </row>
    <row r="109" spans="1:3" x14ac:dyDescent="0.25">
      <c r="A109" s="87">
        <v>46212.422766203701</v>
      </c>
      <c r="B109" s="86" t="s">
        <v>31</v>
      </c>
      <c r="C109" s="88">
        <v>262.2</v>
      </c>
    </row>
    <row r="110" spans="1:3" x14ac:dyDescent="0.25">
      <c r="A110" s="87">
        <v>46212.423148148198</v>
      </c>
      <c r="B110" s="86" t="s">
        <v>32</v>
      </c>
      <c r="C110" s="88">
        <v>176.61</v>
      </c>
    </row>
    <row r="111" spans="1:3" x14ac:dyDescent="0.25">
      <c r="A111" s="87">
        <v>46212.424537036997</v>
      </c>
      <c r="B111" s="86" t="s">
        <v>30</v>
      </c>
      <c r="C111" s="88">
        <v>193.31</v>
      </c>
    </row>
    <row r="112" spans="1:3" x14ac:dyDescent="0.25">
      <c r="A112" s="87">
        <v>46212.424560185202</v>
      </c>
      <c r="B112" s="86" t="s">
        <v>32</v>
      </c>
      <c r="C112" s="88">
        <v>109.23</v>
      </c>
    </row>
    <row r="113" spans="1:3" x14ac:dyDescent="0.25">
      <c r="A113" s="87">
        <v>46212.426932870403</v>
      </c>
      <c r="B113" s="86" t="s">
        <v>32</v>
      </c>
      <c r="C113" s="88">
        <v>59.79</v>
      </c>
    </row>
    <row r="114" spans="1:3" x14ac:dyDescent="0.25">
      <c r="A114" s="87">
        <v>46212.427476851903</v>
      </c>
      <c r="B114" s="86" t="s">
        <v>31</v>
      </c>
      <c r="C114" s="88">
        <v>260.70999999999998</v>
      </c>
    </row>
    <row r="115" spans="1:3" x14ac:dyDescent="0.25">
      <c r="A115" s="87">
        <v>46212.427812499998</v>
      </c>
      <c r="B115" s="86" t="s">
        <v>30</v>
      </c>
      <c r="C115" s="88">
        <v>276.67</v>
      </c>
    </row>
    <row r="116" spans="1:3" x14ac:dyDescent="0.25">
      <c r="A116" s="87">
        <v>46212.428182870397</v>
      </c>
      <c r="B116" s="86" t="s">
        <v>31</v>
      </c>
      <c r="C116" s="88">
        <v>831.29</v>
      </c>
    </row>
    <row r="117" spans="1:3" x14ac:dyDescent="0.25">
      <c r="A117" s="87">
        <v>46212.428726851896</v>
      </c>
      <c r="B117" s="86" t="s">
        <v>32</v>
      </c>
      <c r="C117" s="88">
        <v>150.79</v>
      </c>
    </row>
    <row r="118" spans="1:3" x14ac:dyDescent="0.25">
      <c r="A118" s="87">
        <v>46212.429490740702</v>
      </c>
      <c r="B118" s="86" t="s">
        <v>31</v>
      </c>
      <c r="C118" s="88">
        <v>610.03</v>
      </c>
    </row>
    <row r="119" spans="1:3" x14ac:dyDescent="0.25">
      <c r="A119" s="87">
        <v>46212.430300925902</v>
      </c>
      <c r="B119" s="86" t="s">
        <v>32</v>
      </c>
      <c r="C119" s="88">
        <v>141.26</v>
      </c>
    </row>
    <row r="120" spans="1:3" x14ac:dyDescent="0.25">
      <c r="A120" s="87">
        <v>46212.4303587963</v>
      </c>
      <c r="B120" s="86" t="s">
        <v>32</v>
      </c>
      <c r="C120" s="88">
        <v>943.49</v>
      </c>
    </row>
    <row r="121" spans="1:3" x14ac:dyDescent="0.25">
      <c r="A121" s="87">
        <v>46212.432546296302</v>
      </c>
      <c r="B121" s="86" t="s">
        <v>30</v>
      </c>
      <c r="C121" s="88">
        <v>280.06</v>
      </c>
    </row>
    <row r="122" spans="1:3" x14ac:dyDescent="0.25">
      <c r="A122" s="87">
        <v>46212.432581018496</v>
      </c>
      <c r="B122" s="86" t="s">
        <v>31</v>
      </c>
      <c r="C122" s="88">
        <v>29.11</v>
      </c>
    </row>
    <row r="123" spans="1:3" x14ac:dyDescent="0.25">
      <c r="A123" s="87">
        <v>46212.435219907398</v>
      </c>
      <c r="B123" s="86" t="s">
        <v>31</v>
      </c>
      <c r="C123" s="88">
        <v>684.89</v>
      </c>
    </row>
    <row r="124" spans="1:3" x14ac:dyDescent="0.25">
      <c r="A124" s="87">
        <v>46212.435555555603</v>
      </c>
      <c r="B124" s="86" t="s">
        <v>31</v>
      </c>
      <c r="C124" s="88">
        <v>43.69</v>
      </c>
    </row>
    <row r="125" spans="1:3" x14ac:dyDescent="0.25">
      <c r="A125" s="87">
        <v>46212.435659722199</v>
      </c>
      <c r="B125" s="86" t="s">
        <v>32</v>
      </c>
      <c r="C125" s="88">
        <v>61.62</v>
      </c>
    </row>
    <row r="126" spans="1:3" x14ac:dyDescent="0.25">
      <c r="A126" s="87">
        <v>46212.436400462997</v>
      </c>
      <c r="B126" s="86" t="s">
        <v>32</v>
      </c>
      <c r="C126" s="88">
        <v>888.63</v>
      </c>
    </row>
    <row r="127" spans="1:3" x14ac:dyDescent="0.25">
      <c r="A127" s="84">
        <v>46212.4375925926</v>
      </c>
      <c r="B127" s="85" t="s">
        <v>31</v>
      </c>
      <c r="C127" s="83">
        <v>133.94999999999999</v>
      </c>
    </row>
    <row r="128" spans="1:3" x14ac:dyDescent="0.25">
      <c r="A128" s="84">
        <v>46212.438182870399</v>
      </c>
      <c r="B128" s="85" t="s">
        <v>31</v>
      </c>
      <c r="C128" s="83">
        <v>115.19</v>
      </c>
    </row>
    <row r="129" spans="1:3" x14ac:dyDescent="0.25">
      <c r="A129" s="84">
        <v>46212.439189814802</v>
      </c>
      <c r="B129" s="85" t="s">
        <v>30</v>
      </c>
      <c r="C129" s="83">
        <v>564.35</v>
      </c>
    </row>
    <row r="130" spans="1:3" x14ac:dyDescent="0.25">
      <c r="A130" s="84">
        <v>46212.441296296303</v>
      </c>
      <c r="B130" s="85" t="s">
        <v>31</v>
      </c>
      <c r="C130" s="83">
        <v>22.72</v>
      </c>
    </row>
    <row r="131" spans="1:3" x14ac:dyDescent="0.25">
      <c r="A131" s="84">
        <v>46212.443043981497</v>
      </c>
      <c r="B131" s="85" t="s">
        <v>32</v>
      </c>
      <c r="C131" s="83">
        <v>656.19</v>
      </c>
    </row>
    <row r="132" spans="1:3" x14ac:dyDescent="0.25">
      <c r="A132" s="84">
        <v>46212.443657407399</v>
      </c>
      <c r="B132" s="85" t="s">
        <v>31</v>
      </c>
      <c r="C132" s="83">
        <v>150.32</v>
      </c>
    </row>
    <row r="133" spans="1:3" x14ac:dyDescent="0.25">
      <c r="A133" s="84">
        <v>46212.443796296298</v>
      </c>
      <c r="B133" s="85" t="s">
        <v>30</v>
      </c>
      <c r="C133" s="83">
        <v>692.19</v>
      </c>
    </row>
    <row r="134" spans="1:3" x14ac:dyDescent="0.25">
      <c r="A134" s="84">
        <v>46212.444525462997</v>
      </c>
      <c r="B134" s="85" t="s">
        <v>30</v>
      </c>
      <c r="C134" s="83">
        <v>100.55</v>
      </c>
    </row>
    <row r="135" spans="1:3" x14ac:dyDescent="0.25">
      <c r="A135" s="84">
        <v>46212.445034722201</v>
      </c>
      <c r="B135" s="85" t="s">
        <v>31</v>
      </c>
      <c r="C135" s="83">
        <v>75.83</v>
      </c>
    </row>
    <row r="136" spans="1:3" x14ac:dyDescent="0.25">
      <c r="A136" s="84">
        <v>46212.445925925902</v>
      </c>
      <c r="B136" s="85" t="s">
        <v>31</v>
      </c>
      <c r="C136" s="83">
        <v>161.35</v>
      </c>
    </row>
    <row r="137" spans="1:3" x14ac:dyDescent="0.25">
      <c r="A137" s="84">
        <v>46212.447442129604</v>
      </c>
      <c r="B137" s="85" t="s">
        <v>32</v>
      </c>
      <c r="C137" s="83">
        <v>71.87</v>
      </c>
    </row>
    <row r="138" spans="1:3" x14ac:dyDescent="0.25">
      <c r="A138" s="84">
        <v>46212.448125000003</v>
      </c>
      <c r="B138" s="85" t="s">
        <v>30</v>
      </c>
      <c r="C138" s="83">
        <v>182.6</v>
      </c>
    </row>
    <row r="139" spans="1:3" x14ac:dyDescent="0.25">
      <c r="A139" s="84">
        <v>46212.448391203703</v>
      </c>
      <c r="B139" s="85" t="s">
        <v>32</v>
      </c>
      <c r="C139" s="83">
        <v>43.51</v>
      </c>
    </row>
    <row r="140" spans="1:3" x14ac:dyDescent="0.25">
      <c r="A140" s="84">
        <v>46212.448738425897</v>
      </c>
      <c r="B140" s="85" t="s">
        <v>31</v>
      </c>
      <c r="C140" s="83">
        <v>191.08</v>
      </c>
    </row>
    <row r="141" spans="1:3" x14ac:dyDescent="0.25">
      <c r="A141" s="84">
        <v>46212.449340277803</v>
      </c>
      <c r="B141" s="85" t="s">
        <v>31</v>
      </c>
      <c r="C141" s="83">
        <v>886.44</v>
      </c>
    </row>
    <row r="142" spans="1:3" x14ac:dyDescent="0.25">
      <c r="A142" s="84">
        <v>46212.453043981499</v>
      </c>
      <c r="B142" s="85" t="s">
        <v>32</v>
      </c>
      <c r="C142" s="83">
        <v>166.14</v>
      </c>
    </row>
    <row r="143" spans="1:3" x14ac:dyDescent="0.25">
      <c r="A143" s="84">
        <v>46212.453449074099</v>
      </c>
      <c r="B143" s="85" t="s">
        <v>32</v>
      </c>
      <c r="C143" s="83">
        <v>234.3</v>
      </c>
    </row>
    <row r="144" spans="1:3" x14ac:dyDescent="0.25">
      <c r="A144" s="84">
        <v>46212.454548611102</v>
      </c>
      <c r="B144" s="85" t="s">
        <v>32</v>
      </c>
      <c r="C144" s="83">
        <v>54.58</v>
      </c>
    </row>
    <row r="145" spans="1:3" x14ac:dyDescent="0.25">
      <c r="A145" s="84">
        <v>46212.454895833303</v>
      </c>
      <c r="B145" s="85" t="s">
        <v>31</v>
      </c>
      <c r="C145" s="83">
        <v>126.95</v>
      </c>
    </row>
    <row r="146" spans="1:3" x14ac:dyDescent="0.25">
      <c r="A146" s="84">
        <v>46212.455231481501</v>
      </c>
      <c r="B146" s="85" t="s">
        <v>31</v>
      </c>
      <c r="C146" s="83">
        <v>268.8</v>
      </c>
    </row>
    <row r="147" spans="1:3" x14ac:dyDescent="0.25">
      <c r="A147" s="84">
        <v>46212.456076388902</v>
      </c>
      <c r="B147" s="85" t="s">
        <v>32</v>
      </c>
      <c r="C147" s="83">
        <v>774.4</v>
      </c>
    </row>
    <row r="148" spans="1:3" x14ac:dyDescent="0.25">
      <c r="A148" s="84">
        <v>46212.457152777803</v>
      </c>
      <c r="B148" s="85" t="s">
        <v>32</v>
      </c>
      <c r="C148" s="83">
        <v>231.54</v>
      </c>
    </row>
    <row r="149" spans="1:3" x14ac:dyDescent="0.25">
      <c r="A149" s="84">
        <v>46212.457812499997</v>
      </c>
      <c r="B149" s="85" t="s">
        <v>31</v>
      </c>
      <c r="C149" s="83">
        <v>276.33</v>
      </c>
    </row>
    <row r="150" spans="1:3" x14ac:dyDescent="0.25">
      <c r="A150" s="84">
        <v>46212.4581944444</v>
      </c>
      <c r="B150" s="85" t="s">
        <v>32</v>
      </c>
      <c r="C150" s="83">
        <v>259.99</v>
      </c>
    </row>
    <row r="151" spans="1:3" x14ac:dyDescent="0.25">
      <c r="A151" s="84">
        <v>46212.458587963003</v>
      </c>
      <c r="B151" s="85" t="s">
        <v>30</v>
      </c>
      <c r="C151" s="83">
        <v>226.15</v>
      </c>
    </row>
    <row r="152" spans="1:3" x14ac:dyDescent="0.25">
      <c r="A152" s="84">
        <v>46212.458749999998</v>
      </c>
      <c r="B152" s="85" t="s">
        <v>32</v>
      </c>
      <c r="C152" s="83">
        <v>73.52</v>
      </c>
    </row>
    <row r="153" spans="1:3" x14ac:dyDescent="0.25">
      <c r="A153" s="84">
        <v>46212.458923611099</v>
      </c>
      <c r="B153" s="85" t="s">
        <v>31</v>
      </c>
      <c r="C153" s="83">
        <v>96.88</v>
      </c>
    </row>
    <row r="154" spans="1:3" x14ac:dyDescent="0.25">
      <c r="A154" s="84">
        <v>46212.461365740703</v>
      </c>
      <c r="B154" s="85" t="s">
        <v>32</v>
      </c>
      <c r="C154" s="83">
        <v>98.06</v>
      </c>
    </row>
    <row r="155" spans="1:3" x14ac:dyDescent="0.25">
      <c r="A155" s="84">
        <v>46212.463437500002</v>
      </c>
      <c r="B155" s="85" t="s">
        <v>32</v>
      </c>
      <c r="C155" s="83">
        <v>529.58000000000004</v>
      </c>
    </row>
    <row r="156" spans="1:3" x14ac:dyDescent="0.25">
      <c r="A156" s="84">
        <v>46212.463888888902</v>
      </c>
      <c r="B156" s="85" t="s">
        <v>30</v>
      </c>
      <c r="C156" s="83">
        <v>881.43</v>
      </c>
    </row>
    <row r="157" spans="1:3" x14ac:dyDescent="0.25">
      <c r="A157" s="84">
        <v>46212.464224536998</v>
      </c>
      <c r="B157" s="85" t="s">
        <v>32</v>
      </c>
      <c r="C157" s="83">
        <v>624.12</v>
      </c>
    </row>
    <row r="158" spans="1:3" x14ac:dyDescent="0.25">
      <c r="A158" s="84">
        <v>46212.464467592603</v>
      </c>
      <c r="B158" s="85" t="s">
        <v>32</v>
      </c>
      <c r="C158" s="83">
        <v>246.73</v>
      </c>
    </row>
    <row r="159" spans="1:3" x14ac:dyDescent="0.25">
      <c r="A159" s="84">
        <v>46212.465462963002</v>
      </c>
      <c r="B159" s="85" t="s">
        <v>30</v>
      </c>
      <c r="C159" s="83">
        <v>124.11</v>
      </c>
    </row>
    <row r="160" spans="1:3" x14ac:dyDescent="0.25">
      <c r="A160" s="84">
        <v>46212.465937499997</v>
      </c>
      <c r="B160" s="85" t="s">
        <v>32</v>
      </c>
      <c r="C160" s="83">
        <v>33.22</v>
      </c>
    </row>
    <row r="161" spans="1:3" x14ac:dyDescent="0.25">
      <c r="A161" s="84">
        <v>46212.465995370403</v>
      </c>
      <c r="B161" s="85" t="s">
        <v>30</v>
      </c>
      <c r="C161" s="83">
        <v>173.73</v>
      </c>
    </row>
    <row r="162" spans="1:3" x14ac:dyDescent="0.25">
      <c r="A162" s="84">
        <v>46212.4674884259</v>
      </c>
      <c r="B162" s="85" t="s">
        <v>31</v>
      </c>
      <c r="C162" s="83">
        <v>19.86</v>
      </c>
    </row>
    <row r="163" spans="1:3" x14ac:dyDescent="0.25">
      <c r="A163" s="84">
        <v>46212.467604166697</v>
      </c>
      <c r="B163" s="85" t="s">
        <v>30</v>
      </c>
      <c r="C163" s="83">
        <v>494.73</v>
      </c>
    </row>
    <row r="164" spans="1:3" x14ac:dyDescent="0.25">
      <c r="A164" s="84">
        <v>46212.469050925902</v>
      </c>
      <c r="B164" s="85" t="s">
        <v>32</v>
      </c>
      <c r="C164" s="83">
        <v>99.75</v>
      </c>
    </row>
    <row r="165" spans="1:3" x14ac:dyDescent="0.25">
      <c r="A165" s="84">
        <v>46212.469733796301</v>
      </c>
      <c r="B165" s="85" t="s">
        <v>32</v>
      </c>
      <c r="C165" s="83">
        <v>961.03</v>
      </c>
    </row>
    <row r="166" spans="1:3" x14ac:dyDescent="0.25">
      <c r="A166" s="84">
        <v>46212.470300925903</v>
      </c>
      <c r="B166" s="85" t="s">
        <v>32</v>
      </c>
      <c r="C166" s="83">
        <v>1498.07</v>
      </c>
    </row>
    <row r="167" spans="1:3" x14ac:dyDescent="0.25">
      <c r="A167" s="84">
        <v>46212.470648148199</v>
      </c>
      <c r="B167" s="85" t="s">
        <v>32</v>
      </c>
      <c r="C167" s="83">
        <v>122.49</v>
      </c>
    </row>
    <row r="168" spans="1:3" x14ac:dyDescent="0.25">
      <c r="A168" s="84">
        <v>46212.471168981501</v>
      </c>
      <c r="B168" s="85" t="s">
        <v>31</v>
      </c>
      <c r="C168" s="83">
        <v>51.27</v>
      </c>
    </row>
    <row r="169" spans="1:3" x14ac:dyDescent="0.25">
      <c r="A169" s="84">
        <v>46212.472152777802</v>
      </c>
      <c r="B169" s="85" t="s">
        <v>31</v>
      </c>
      <c r="C169" s="83">
        <v>139.1</v>
      </c>
    </row>
    <row r="170" spans="1:3" x14ac:dyDescent="0.25">
      <c r="A170" s="84">
        <v>46212.473136574103</v>
      </c>
      <c r="B170" s="85" t="s">
        <v>32</v>
      </c>
      <c r="C170" s="83">
        <v>61.37</v>
      </c>
    </row>
    <row r="171" spans="1:3" x14ac:dyDescent="0.25">
      <c r="A171" s="84">
        <v>46212.473437499997</v>
      </c>
      <c r="B171" s="85" t="s">
        <v>31</v>
      </c>
      <c r="C171" s="83">
        <v>190.08</v>
      </c>
    </row>
    <row r="172" spans="1:3" x14ac:dyDescent="0.25">
      <c r="A172" s="84">
        <v>46212.474849537</v>
      </c>
      <c r="B172" s="85" t="s">
        <v>30</v>
      </c>
      <c r="C172" s="83">
        <v>276.77999999999997</v>
      </c>
    </row>
    <row r="173" spans="1:3" x14ac:dyDescent="0.25">
      <c r="A173" s="84">
        <v>46212.474976851903</v>
      </c>
      <c r="B173" s="85" t="s">
        <v>32</v>
      </c>
      <c r="C173" s="83">
        <v>709.55</v>
      </c>
    </row>
    <row r="174" spans="1:3" x14ac:dyDescent="0.25">
      <c r="A174" s="84">
        <v>46212.476620370398</v>
      </c>
      <c r="B174" s="85" t="s">
        <v>30</v>
      </c>
      <c r="C174" s="83">
        <v>700.12</v>
      </c>
    </row>
    <row r="175" spans="1:3" x14ac:dyDescent="0.25">
      <c r="A175" s="84">
        <v>46212.479178240697</v>
      </c>
      <c r="B175" s="85" t="s">
        <v>32</v>
      </c>
      <c r="C175" s="83">
        <v>770.96</v>
      </c>
    </row>
    <row r="176" spans="1:3" x14ac:dyDescent="0.25">
      <c r="A176" s="84">
        <v>46212.479907407404</v>
      </c>
      <c r="B176" s="85" t="s">
        <v>30</v>
      </c>
      <c r="C176" s="83">
        <v>288.97000000000003</v>
      </c>
    </row>
    <row r="177" spans="1:3" x14ac:dyDescent="0.25">
      <c r="A177" s="84">
        <v>46212.481909722199</v>
      </c>
      <c r="B177" s="85" t="s">
        <v>32</v>
      </c>
      <c r="C177" s="83">
        <v>755.73</v>
      </c>
    </row>
    <row r="178" spans="1:3" x14ac:dyDescent="0.25">
      <c r="A178" s="84">
        <v>46212.4840162037</v>
      </c>
      <c r="B178" s="85" t="s">
        <v>31</v>
      </c>
      <c r="C178" s="83">
        <v>102.66</v>
      </c>
    </row>
    <row r="179" spans="1:3" x14ac:dyDescent="0.25">
      <c r="A179" s="84">
        <v>46212.487986111097</v>
      </c>
      <c r="B179" s="85" t="s">
        <v>32</v>
      </c>
      <c r="C179" s="83">
        <v>858.3</v>
      </c>
    </row>
    <row r="180" spans="1:3" x14ac:dyDescent="0.25">
      <c r="A180" s="84">
        <v>46212.488495370402</v>
      </c>
      <c r="B180" s="85" t="s">
        <v>30</v>
      </c>
      <c r="C180" s="83">
        <v>241.4</v>
      </c>
    </row>
    <row r="181" spans="1:3" x14ac:dyDescent="0.25">
      <c r="A181" s="84">
        <v>46212.490451388898</v>
      </c>
      <c r="B181" s="85" t="s">
        <v>31</v>
      </c>
      <c r="C181" s="83">
        <v>137.63999999999999</v>
      </c>
    </row>
    <row r="182" spans="1:3" x14ac:dyDescent="0.25">
      <c r="A182" s="84">
        <v>46212.493321759299</v>
      </c>
      <c r="B182" s="85" t="s">
        <v>30</v>
      </c>
      <c r="C182" s="83">
        <v>137.04</v>
      </c>
    </row>
    <row r="183" spans="1:3" x14ac:dyDescent="0.25">
      <c r="A183" s="84">
        <v>46212.495150463001</v>
      </c>
      <c r="B183" s="85" t="s">
        <v>32</v>
      </c>
      <c r="C183" s="83">
        <v>359.94</v>
      </c>
    </row>
    <row r="184" spans="1:3" x14ac:dyDescent="0.25">
      <c r="A184" s="84">
        <v>46212.495914351901</v>
      </c>
      <c r="B184" s="85" t="s">
        <v>32</v>
      </c>
      <c r="C184" s="83">
        <v>47.45</v>
      </c>
    </row>
    <row r="185" spans="1:3" x14ac:dyDescent="0.25">
      <c r="A185" s="84">
        <v>46212.495995370402</v>
      </c>
      <c r="B185" s="85" t="s">
        <v>31</v>
      </c>
      <c r="C185" s="83">
        <v>112.62</v>
      </c>
    </row>
    <row r="186" spans="1:3" x14ac:dyDescent="0.25">
      <c r="A186" s="84">
        <v>46212.497384259303</v>
      </c>
      <c r="B186" s="85" t="s">
        <v>31</v>
      </c>
      <c r="C186" s="83">
        <v>196.73</v>
      </c>
    </row>
    <row r="187" spans="1:3" x14ac:dyDescent="0.25">
      <c r="A187" s="84">
        <v>46212.500752314802</v>
      </c>
      <c r="B187" s="85" t="s">
        <v>30</v>
      </c>
      <c r="C187" s="83">
        <v>250.48</v>
      </c>
    </row>
    <row r="188" spans="1:3" x14ac:dyDescent="0.25">
      <c r="A188" s="84">
        <v>46212.501724537004</v>
      </c>
      <c r="B188" s="85" t="s">
        <v>32</v>
      </c>
      <c r="C188" s="83">
        <v>1072.71</v>
      </c>
    </row>
    <row r="189" spans="1:3" x14ac:dyDescent="0.25">
      <c r="A189" s="84">
        <v>46212.502997685202</v>
      </c>
      <c r="B189" s="85" t="s">
        <v>31</v>
      </c>
      <c r="C189" s="83">
        <v>98.18</v>
      </c>
    </row>
    <row r="190" spans="1:3" x14ac:dyDescent="0.25">
      <c r="A190" s="84">
        <v>46212.503333333298</v>
      </c>
      <c r="B190" s="85" t="s">
        <v>31</v>
      </c>
      <c r="C190" s="83">
        <v>270.20999999999998</v>
      </c>
    </row>
    <row r="191" spans="1:3" x14ac:dyDescent="0.25">
      <c r="A191" s="84">
        <v>46212.5051157407</v>
      </c>
      <c r="B191" s="85" t="s">
        <v>32</v>
      </c>
      <c r="C191" s="83">
        <v>46.56</v>
      </c>
    </row>
    <row r="192" spans="1:3" x14ac:dyDescent="0.25">
      <c r="A192" s="84">
        <v>46212.5055671296</v>
      </c>
      <c r="B192" s="85" t="s">
        <v>32</v>
      </c>
      <c r="C192" s="83">
        <v>23.23</v>
      </c>
    </row>
    <row r="193" spans="1:3" x14ac:dyDescent="0.25">
      <c r="A193" s="84">
        <v>46212.5062384259</v>
      </c>
      <c r="B193" s="85" t="s">
        <v>31</v>
      </c>
      <c r="C193" s="83">
        <v>1070.53</v>
      </c>
    </row>
    <row r="194" spans="1:3" x14ac:dyDescent="0.25">
      <c r="A194" s="84">
        <v>46212.506249999999</v>
      </c>
      <c r="B194" s="85" t="s">
        <v>32</v>
      </c>
      <c r="C194" s="83">
        <v>187.89</v>
      </c>
    </row>
    <row r="195" spans="1:3" x14ac:dyDescent="0.25">
      <c r="A195" s="84">
        <v>46212.506886574098</v>
      </c>
      <c r="B195" s="85" t="s">
        <v>32</v>
      </c>
      <c r="C195" s="83">
        <v>199.64</v>
      </c>
    </row>
    <row r="196" spans="1:3" x14ac:dyDescent="0.25">
      <c r="A196" s="84">
        <v>46212.5069560185</v>
      </c>
      <c r="B196" s="85" t="s">
        <v>30</v>
      </c>
      <c r="C196" s="83">
        <v>60.54</v>
      </c>
    </row>
    <row r="197" spans="1:3" x14ac:dyDescent="0.25">
      <c r="A197" s="84">
        <v>46212.507280092599</v>
      </c>
      <c r="B197" s="85" t="s">
        <v>32</v>
      </c>
      <c r="C197" s="83">
        <v>227.51</v>
      </c>
    </row>
    <row r="198" spans="1:3" x14ac:dyDescent="0.25">
      <c r="A198" s="84">
        <v>46212.509733796302</v>
      </c>
      <c r="B198" s="85" t="s">
        <v>30</v>
      </c>
      <c r="C198" s="83">
        <v>108.74</v>
      </c>
    </row>
    <row r="199" spans="1:3" x14ac:dyDescent="0.25">
      <c r="A199" s="84">
        <v>46212.5097916667</v>
      </c>
      <c r="B199" s="85" t="s">
        <v>32</v>
      </c>
      <c r="C199" s="83">
        <v>19.64</v>
      </c>
    </row>
    <row r="200" spans="1:3" x14ac:dyDescent="0.25">
      <c r="A200" s="84">
        <v>46212.510162036997</v>
      </c>
      <c r="B200" s="85" t="s">
        <v>32</v>
      </c>
      <c r="C200" s="83">
        <v>282.77</v>
      </c>
    </row>
    <row r="201" spans="1:3" x14ac:dyDescent="0.25">
      <c r="A201" s="84">
        <v>46212.5102893519</v>
      </c>
      <c r="B201" s="85" t="s">
        <v>32</v>
      </c>
      <c r="C201" s="83">
        <v>175.65</v>
      </c>
    </row>
    <row r="202" spans="1:3" x14ac:dyDescent="0.25">
      <c r="A202" s="84">
        <v>46212.511736111097</v>
      </c>
      <c r="B202" s="85" t="s">
        <v>30</v>
      </c>
      <c r="C202" s="83">
        <v>628.5</v>
      </c>
    </row>
    <row r="203" spans="1:3" x14ac:dyDescent="0.25">
      <c r="A203" s="84">
        <v>46212.517280092601</v>
      </c>
      <c r="B203" s="85" t="s">
        <v>32</v>
      </c>
      <c r="C203" s="83">
        <v>137.38</v>
      </c>
    </row>
    <row r="204" spans="1:3" x14ac:dyDescent="0.25">
      <c r="A204" s="84">
        <v>46212.517766203702</v>
      </c>
      <c r="B204" s="85" t="s">
        <v>32</v>
      </c>
      <c r="C204" s="83">
        <v>269.68</v>
      </c>
    </row>
    <row r="205" spans="1:3" x14ac:dyDescent="0.25">
      <c r="A205" s="84">
        <v>46212.520219907397</v>
      </c>
      <c r="B205" s="85" t="s">
        <v>30</v>
      </c>
      <c r="C205" s="83">
        <v>211.37</v>
      </c>
    </row>
    <row r="206" spans="1:3" x14ac:dyDescent="0.25">
      <c r="A206" s="84">
        <v>46212.521527777797</v>
      </c>
      <c r="B206" s="85" t="s">
        <v>32</v>
      </c>
      <c r="C206" s="83">
        <v>430.68</v>
      </c>
    </row>
    <row r="207" spans="1:3" x14ac:dyDescent="0.25">
      <c r="A207" s="84">
        <v>46212.521620370397</v>
      </c>
      <c r="B207" s="85" t="s">
        <v>32</v>
      </c>
      <c r="C207" s="83">
        <v>484.05</v>
      </c>
    </row>
    <row r="208" spans="1:3" x14ac:dyDescent="0.25">
      <c r="A208" s="84">
        <v>46212.521655092598</v>
      </c>
      <c r="B208" s="85" t="s">
        <v>31</v>
      </c>
      <c r="C208" s="83">
        <v>1417.13</v>
      </c>
    </row>
    <row r="209" spans="1:3" x14ac:dyDescent="0.25">
      <c r="A209" s="84">
        <v>46212.5218634259</v>
      </c>
      <c r="B209" s="85" t="s">
        <v>32</v>
      </c>
      <c r="C209" s="83">
        <v>142.96</v>
      </c>
    </row>
    <row r="210" spans="1:3" x14ac:dyDescent="0.25">
      <c r="A210" s="84">
        <v>46212.5219097222</v>
      </c>
      <c r="B210" s="85" t="s">
        <v>31</v>
      </c>
      <c r="C210" s="83">
        <v>500.5</v>
      </c>
    </row>
    <row r="211" spans="1:3" x14ac:dyDescent="0.25">
      <c r="A211" s="84">
        <v>46212.521932870397</v>
      </c>
      <c r="B211" s="85" t="s">
        <v>32</v>
      </c>
      <c r="C211" s="83">
        <v>110.9</v>
      </c>
    </row>
    <row r="212" spans="1:3" x14ac:dyDescent="0.25">
      <c r="A212" s="84">
        <v>46212.5221759259</v>
      </c>
      <c r="B212" s="85" t="s">
        <v>32</v>
      </c>
      <c r="C212" s="83">
        <v>295.76</v>
      </c>
    </row>
    <row r="213" spans="1:3" x14ac:dyDescent="0.25">
      <c r="A213" s="84">
        <v>46212.522418981498</v>
      </c>
      <c r="B213" s="85" t="s">
        <v>32</v>
      </c>
      <c r="C213" s="83">
        <v>123.44</v>
      </c>
    </row>
    <row r="214" spans="1:3" x14ac:dyDescent="0.25">
      <c r="A214" s="84">
        <v>46212.523125</v>
      </c>
      <c r="B214" s="85" t="s">
        <v>32</v>
      </c>
      <c r="C214" s="83">
        <v>83.88</v>
      </c>
    </row>
    <row r="215" spans="1:3" x14ac:dyDescent="0.25">
      <c r="A215" s="84">
        <v>46212.523865740703</v>
      </c>
      <c r="B215" s="85" t="s">
        <v>31</v>
      </c>
      <c r="C215" s="83">
        <v>201.83</v>
      </c>
    </row>
    <row r="216" spans="1:3" x14ac:dyDescent="0.25">
      <c r="A216" s="84">
        <v>46212.5238888889</v>
      </c>
      <c r="B216" s="85" t="s">
        <v>31</v>
      </c>
      <c r="C216" s="83">
        <v>73.459999999999994</v>
      </c>
    </row>
    <row r="217" spans="1:3" x14ac:dyDescent="0.25">
      <c r="A217" s="84">
        <v>46212.525393518503</v>
      </c>
      <c r="B217" s="85" t="s">
        <v>32</v>
      </c>
      <c r="C217" s="83">
        <v>37.619999999999997</v>
      </c>
    </row>
    <row r="218" spans="1:3" x14ac:dyDescent="0.25">
      <c r="A218" s="84">
        <v>46212.526342592602</v>
      </c>
      <c r="B218" s="85" t="s">
        <v>32</v>
      </c>
      <c r="C218" s="83">
        <v>175.68</v>
      </c>
    </row>
    <row r="219" spans="1:3" x14ac:dyDescent="0.25">
      <c r="A219" s="84">
        <v>46212.526377314804</v>
      </c>
      <c r="B219" s="85" t="s">
        <v>31</v>
      </c>
      <c r="C219" s="83">
        <v>803.36</v>
      </c>
    </row>
    <row r="220" spans="1:3" x14ac:dyDescent="0.25">
      <c r="A220" s="84">
        <v>46212.527141203696</v>
      </c>
      <c r="B220" s="85" t="s">
        <v>32</v>
      </c>
      <c r="C220" s="83">
        <v>194.79</v>
      </c>
    </row>
    <row r="221" spans="1:3" x14ac:dyDescent="0.25">
      <c r="A221" s="84">
        <v>46212.529097222199</v>
      </c>
      <c r="B221" s="85" t="s">
        <v>30</v>
      </c>
      <c r="C221" s="83">
        <v>130.06</v>
      </c>
    </row>
    <row r="222" spans="1:3" x14ac:dyDescent="0.25">
      <c r="A222" s="84">
        <v>46212.529432870397</v>
      </c>
      <c r="B222" s="85" t="s">
        <v>32</v>
      </c>
      <c r="C222" s="83">
        <v>267.06</v>
      </c>
    </row>
    <row r="223" spans="1:3" x14ac:dyDescent="0.25">
      <c r="A223" s="84">
        <v>46212.529513888898</v>
      </c>
      <c r="B223" s="85" t="s">
        <v>32</v>
      </c>
      <c r="C223" s="83">
        <v>138.78</v>
      </c>
    </row>
    <row r="224" spans="1:3" x14ac:dyDescent="0.25">
      <c r="A224" s="84">
        <v>46212.529548611099</v>
      </c>
      <c r="B224" s="85" t="s">
        <v>31</v>
      </c>
      <c r="C224" s="83">
        <v>11.88</v>
      </c>
    </row>
    <row r="225" spans="1:3" x14ac:dyDescent="0.25">
      <c r="A225" s="84">
        <v>46212.530162037001</v>
      </c>
      <c r="B225" s="85" t="s">
        <v>30</v>
      </c>
      <c r="C225" s="83">
        <v>292.83</v>
      </c>
    </row>
    <row r="226" spans="1:3" x14ac:dyDescent="0.25">
      <c r="A226" s="84">
        <v>46212.530162037001</v>
      </c>
      <c r="B226" s="85" t="s">
        <v>30</v>
      </c>
      <c r="C226" s="83">
        <v>264.17</v>
      </c>
    </row>
    <row r="227" spans="1:3" x14ac:dyDescent="0.25">
      <c r="A227" s="84">
        <v>46212.530474537001</v>
      </c>
      <c r="B227" s="85" t="s">
        <v>31</v>
      </c>
      <c r="C227" s="83">
        <v>167.48</v>
      </c>
    </row>
    <row r="228" spans="1:3" x14ac:dyDescent="0.25">
      <c r="A228" s="84">
        <v>46212.530567129601</v>
      </c>
      <c r="B228" s="85" t="s">
        <v>32</v>
      </c>
      <c r="C228" s="83">
        <v>63.96</v>
      </c>
    </row>
    <row r="229" spans="1:3" x14ac:dyDescent="0.25">
      <c r="A229" s="84">
        <v>46212.531469907401</v>
      </c>
      <c r="B229" s="85" t="s">
        <v>32</v>
      </c>
      <c r="C229" s="83">
        <v>233.61</v>
      </c>
    </row>
    <row r="230" spans="1:3" x14ac:dyDescent="0.25">
      <c r="A230" s="84">
        <v>46212.532164351898</v>
      </c>
      <c r="B230" s="85" t="s">
        <v>32</v>
      </c>
      <c r="C230" s="83">
        <v>76.97</v>
      </c>
    </row>
    <row r="231" spans="1:3" x14ac:dyDescent="0.25">
      <c r="A231" s="84">
        <v>46212.532199074099</v>
      </c>
      <c r="B231" s="85" t="s">
        <v>31</v>
      </c>
      <c r="C231" s="83">
        <v>243.19</v>
      </c>
    </row>
    <row r="232" spans="1:3" x14ac:dyDescent="0.25">
      <c r="A232" s="84">
        <v>46212.532905092601</v>
      </c>
      <c r="B232" s="85" t="s">
        <v>32</v>
      </c>
      <c r="C232" s="83">
        <v>211.32</v>
      </c>
    </row>
    <row r="233" spans="1:3" x14ac:dyDescent="0.25">
      <c r="A233" s="84">
        <v>46212.533657407403</v>
      </c>
      <c r="B233" s="85" t="s">
        <v>32</v>
      </c>
      <c r="C233" s="83">
        <v>64.099999999999994</v>
      </c>
    </row>
    <row r="234" spans="1:3" x14ac:dyDescent="0.25">
      <c r="A234" s="84">
        <v>46212.534131944398</v>
      </c>
      <c r="B234" s="85" t="s">
        <v>32</v>
      </c>
      <c r="C234" s="83">
        <v>1433.96</v>
      </c>
    </row>
    <row r="235" spans="1:3" x14ac:dyDescent="0.25">
      <c r="A235" s="84">
        <v>46212.534201388902</v>
      </c>
      <c r="B235" s="85" t="s">
        <v>31</v>
      </c>
      <c r="C235" s="83">
        <v>273.13</v>
      </c>
    </row>
    <row r="236" spans="1:3" x14ac:dyDescent="0.25">
      <c r="A236" s="84">
        <v>46212.5343518519</v>
      </c>
      <c r="B236" s="85" t="s">
        <v>32</v>
      </c>
      <c r="C236" s="83">
        <v>805.11</v>
      </c>
    </row>
    <row r="237" spans="1:3" x14ac:dyDescent="0.25">
      <c r="A237" s="84">
        <v>46212.534826388903</v>
      </c>
      <c r="B237" s="85" t="s">
        <v>32</v>
      </c>
      <c r="C237" s="83">
        <v>11.77</v>
      </c>
    </row>
    <row r="238" spans="1:3" x14ac:dyDescent="0.25">
      <c r="A238" s="84">
        <v>46212.535034722197</v>
      </c>
      <c r="B238" s="85" t="s">
        <v>32</v>
      </c>
      <c r="C238" s="83">
        <v>58.79</v>
      </c>
    </row>
    <row r="239" spans="1:3" x14ac:dyDescent="0.25">
      <c r="A239" s="84">
        <v>46212.535219907397</v>
      </c>
      <c r="B239" s="85" t="s">
        <v>31</v>
      </c>
      <c r="C239" s="83">
        <v>201.47</v>
      </c>
    </row>
    <row r="240" spans="1:3" x14ac:dyDescent="0.25">
      <c r="A240" s="84">
        <v>46212.535949074103</v>
      </c>
      <c r="B240" s="85" t="s">
        <v>32</v>
      </c>
      <c r="C240" s="83">
        <v>614.66</v>
      </c>
    </row>
    <row r="241" spans="1:3" x14ac:dyDescent="0.25">
      <c r="A241" s="84">
        <v>46212.536874999998</v>
      </c>
      <c r="B241" s="85" t="s">
        <v>32</v>
      </c>
      <c r="C241" s="83">
        <v>151.76</v>
      </c>
    </row>
    <row r="242" spans="1:3" x14ac:dyDescent="0.25">
      <c r="A242" s="84">
        <v>46212.537789351903</v>
      </c>
      <c r="B242" s="85" t="s">
        <v>32</v>
      </c>
      <c r="C242" s="83">
        <v>37.39</v>
      </c>
    </row>
    <row r="243" spans="1:3" x14ac:dyDescent="0.25">
      <c r="A243" s="84">
        <v>46212.538437499999</v>
      </c>
      <c r="B243" s="85" t="s">
        <v>32</v>
      </c>
      <c r="C243" s="83">
        <v>136.59</v>
      </c>
    </row>
    <row r="244" spans="1:3" x14ac:dyDescent="0.25">
      <c r="A244" s="84">
        <v>46212.538784722201</v>
      </c>
      <c r="B244" s="85" t="s">
        <v>32</v>
      </c>
      <c r="C244" s="83">
        <v>169.67</v>
      </c>
    </row>
    <row r="245" spans="1:3" x14ac:dyDescent="0.25">
      <c r="A245" s="84">
        <v>46212.539259259298</v>
      </c>
      <c r="B245" s="85" t="s">
        <v>31</v>
      </c>
      <c r="C245" s="83">
        <v>641.39</v>
      </c>
    </row>
    <row r="246" spans="1:3" x14ac:dyDescent="0.25">
      <c r="A246" s="84">
        <v>46212.540555555599</v>
      </c>
      <c r="B246" s="85" t="s">
        <v>32</v>
      </c>
      <c r="C246" s="83">
        <v>1000.49</v>
      </c>
    </row>
    <row r="247" spans="1:3" x14ac:dyDescent="0.25">
      <c r="A247" s="84">
        <v>46212.540856481501</v>
      </c>
      <c r="B247" s="85" t="s">
        <v>31</v>
      </c>
      <c r="C247" s="83">
        <v>159.86000000000001</v>
      </c>
    </row>
    <row r="248" spans="1:3" x14ac:dyDescent="0.25">
      <c r="A248" s="84">
        <v>46212.541145833296</v>
      </c>
      <c r="B248" s="85" t="s">
        <v>31</v>
      </c>
      <c r="C248" s="83">
        <v>234.21</v>
      </c>
    </row>
    <row r="249" spans="1:3" x14ac:dyDescent="0.25">
      <c r="A249" s="84">
        <v>46212.542083333297</v>
      </c>
      <c r="B249" s="85" t="s">
        <v>30</v>
      </c>
      <c r="C249" s="83">
        <v>232.02</v>
      </c>
    </row>
    <row r="250" spans="1:3" x14ac:dyDescent="0.25">
      <c r="A250" s="84">
        <v>46212.544513888897</v>
      </c>
      <c r="B250" s="85" t="s">
        <v>31</v>
      </c>
      <c r="C250" s="83">
        <v>340.3</v>
      </c>
    </row>
    <row r="251" spans="1:3" x14ac:dyDescent="0.25">
      <c r="A251" s="84">
        <v>46212.5464236111</v>
      </c>
      <c r="B251" s="85" t="s">
        <v>30</v>
      </c>
      <c r="C251" s="83">
        <v>54.83</v>
      </c>
    </row>
    <row r="252" spans="1:3" x14ac:dyDescent="0.25">
      <c r="A252" s="84">
        <v>46212.548020833303</v>
      </c>
      <c r="B252" s="85" t="s">
        <v>30</v>
      </c>
      <c r="C252" s="83">
        <v>59.99</v>
      </c>
    </row>
    <row r="253" spans="1:3" x14ac:dyDescent="0.25">
      <c r="A253" s="84">
        <v>46212.548831018503</v>
      </c>
      <c r="B253" s="85" t="s">
        <v>32</v>
      </c>
      <c r="C253" s="83">
        <v>265.8</v>
      </c>
    </row>
    <row r="254" spans="1:3" x14ac:dyDescent="0.25">
      <c r="A254" s="84">
        <v>46212.5496643519</v>
      </c>
      <c r="B254" s="85" t="s">
        <v>30</v>
      </c>
      <c r="C254" s="83">
        <v>298.67</v>
      </c>
    </row>
    <row r="255" spans="1:3" x14ac:dyDescent="0.25">
      <c r="A255" s="84">
        <v>46212.550763888903</v>
      </c>
      <c r="B255" s="85" t="s">
        <v>32</v>
      </c>
      <c r="C255" s="83">
        <v>148.26</v>
      </c>
    </row>
    <row r="256" spans="1:3" x14ac:dyDescent="0.25">
      <c r="A256" s="84">
        <v>46212.5526157407</v>
      </c>
      <c r="B256" s="85" t="s">
        <v>32</v>
      </c>
      <c r="C256" s="83">
        <v>71.989999999999995</v>
      </c>
    </row>
    <row r="257" spans="1:3" x14ac:dyDescent="0.25">
      <c r="A257" s="84">
        <v>46212.552650463003</v>
      </c>
      <c r="B257" s="85" t="s">
        <v>32</v>
      </c>
      <c r="C257" s="83">
        <v>278.72000000000003</v>
      </c>
    </row>
    <row r="258" spans="1:3" x14ac:dyDescent="0.25">
      <c r="A258" s="84">
        <v>46212.552685185197</v>
      </c>
      <c r="B258" s="85" t="s">
        <v>30</v>
      </c>
      <c r="C258" s="83">
        <v>284.2</v>
      </c>
    </row>
    <row r="259" spans="1:3" x14ac:dyDescent="0.25">
      <c r="A259" s="84">
        <v>46212.553124999999</v>
      </c>
      <c r="B259" s="85" t="s">
        <v>32</v>
      </c>
      <c r="C259" s="83">
        <v>90.84</v>
      </c>
    </row>
    <row r="260" spans="1:3" x14ac:dyDescent="0.25">
      <c r="A260" s="84">
        <v>46212.555277777799</v>
      </c>
      <c r="B260" s="85" t="s">
        <v>30</v>
      </c>
      <c r="C260" s="83">
        <v>222.03</v>
      </c>
    </row>
    <row r="261" spans="1:3" x14ac:dyDescent="0.25">
      <c r="A261" s="84">
        <v>46212.555462962999</v>
      </c>
      <c r="B261" s="85" t="s">
        <v>30</v>
      </c>
      <c r="C261" s="83">
        <v>748.66</v>
      </c>
    </row>
    <row r="262" spans="1:3" x14ac:dyDescent="0.25">
      <c r="A262" s="84">
        <v>46212.5558101852</v>
      </c>
      <c r="B262" s="85" t="s">
        <v>32</v>
      </c>
      <c r="C262" s="83">
        <v>1473.94</v>
      </c>
    </row>
    <row r="263" spans="1:3" x14ac:dyDescent="0.25">
      <c r="A263" s="84">
        <v>46212.556412037004</v>
      </c>
      <c r="B263" s="85" t="s">
        <v>31</v>
      </c>
      <c r="C263" s="83">
        <v>213.32</v>
      </c>
    </row>
    <row r="264" spans="1:3" x14ac:dyDescent="0.25">
      <c r="A264" s="84">
        <v>46212.559085648201</v>
      </c>
      <c r="B264" s="85" t="s">
        <v>31</v>
      </c>
      <c r="C264" s="83">
        <v>223.09</v>
      </c>
    </row>
    <row r="265" spans="1:3" x14ac:dyDescent="0.25">
      <c r="A265" s="84">
        <v>46212.559907407398</v>
      </c>
      <c r="B265" s="85" t="s">
        <v>32</v>
      </c>
      <c r="C265" s="83">
        <v>293.82</v>
      </c>
    </row>
    <row r="266" spans="1:3" x14ac:dyDescent="0.25">
      <c r="A266" s="84">
        <v>46212.560543981497</v>
      </c>
      <c r="B266" s="85" t="s">
        <v>32</v>
      </c>
      <c r="C266" s="83">
        <v>53.29</v>
      </c>
    </row>
    <row r="267" spans="1:3" x14ac:dyDescent="0.25">
      <c r="A267" s="84">
        <v>46212.560810185198</v>
      </c>
      <c r="B267" s="85" t="s">
        <v>30</v>
      </c>
      <c r="C267" s="83">
        <v>137.28</v>
      </c>
    </row>
    <row r="268" spans="1:3" x14ac:dyDescent="0.25">
      <c r="A268" s="84">
        <v>46212.561747685198</v>
      </c>
      <c r="B268" s="85" t="s">
        <v>32</v>
      </c>
      <c r="C268" s="83">
        <v>717.27</v>
      </c>
    </row>
    <row r="269" spans="1:3" x14ac:dyDescent="0.25">
      <c r="A269" s="84">
        <v>46212.562465277799</v>
      </c>
      <c r="B269" s="85" t="s">
        <v>32</v>
      </c>
      <c r="C269" s="83">
        <v>66.25</v>
      </c>
    </row>
    <row r="270" spans="1:3" x14ac:dyDescent="0.25">
      <c r="A270" s="84">
        <v>46212.564004629603</v>
      </c>
      <c r="B270" s="85" t="s">
        <v>30</v>
      </c>
      <c r="C270" s="83">
        <v>155.97</v>
      </c>
    </row>
    <row r="271" spans="1:3" x14ac:dyDescent="0.25">
      <c r="A271" s="84">
        <v>46212.565057870401</v>
      </c>
      <c r="B271" s="85" t="s">
        <v>32</v>
      </c>
      <c r="C271" s="83">
        <v>544.29</v>
      </c>
    </row>
    <row r="272" spans="1:3" x14ac:dyDescent="0.25">
      <c r="A272" s="84">
        <v>46212.567349536999</v>
      </c>
      <c r="B272" s="85" t="s">
        <v>32</v>
      </c>
      <c r="C272" s="83">
        <v>295.45999999999998</v>
      </c>
    </row>
    <row r="273" spans="1:3" x14ac:dyDescent="0.25">
      <c r="A273" s="84">
        <v>46212.568287037</v>
      </c>
      <c r="B273" s="85" t="s">
        <v>32</v>
      </c>
      <c r="C273" s="83">
        <v>182.51</v>
      </c>
    </row>
    <row r="274" spans="1:3" x14ac:dyDescent="0.25">
      <c r="A274" s="84">
        <v>46212.568935185198</v>
      </c>
      <c r="B274" s="85" t="s">
        <v>30</v>
      </c>
      <c r="C274" s="83">
        <v>143.28</v>
      </c>
    </row>
    <row r="275" spans="1:3" x14ac:dyDescent="0.25">
      <c r="A275" s="84">
        <v>46212.569027777798</v>
      </c>
      <c r="B275" s="85" t="s">
        <v>32</v>
      </c>
      <c r="C275" s="83">
        <v>187.22</v>
      </c>
    </row>
    <row r="276" spans="1:3" x14ac:dyDescent="0.25">
      <c r="A276" s="84">
        <v>46212.569699074098</v>
      </c>
      <c r="B276" s="85" t="s">
        <v>32</v>
      </c>
      <c r="C276" s="83">
        <v>208.3</v>
      </c>
    </row>
    <row r="277" spans="1:3" x14ac:dyDescent="0.25">
      <c r="A277" s="84">
        <v>46212.570254629602</v>
      </c>
      <c r="B277" s="85" t="s">
        <v>31</v>
      </c>
      <c r="C277" s="83">
        <v>953.8</v>
      </c>
    </row>
    <row r="278" spans="1:3" x14ac:dyDescent="0.25">
      <c r="A278" s="84">
        <v>46212.570289351897</v>
      </c>
      <c r="B278" s="85" t="s">
        <v>31</v>
      </c>
      <c r="C278" s="83">
        <v>886.97</v>
      </c>
    </row>
    <row r="279" spans="1:3" x14ac:dyDescent="0.25">
      <c r="A279" s="84">
        <v>46212.5711689815</v>
      </c>
      <c r="B279" s="85" t="s">
        <v>32</v>
      </c>
      <c r="C279" s="83">
        <v>260.89999999999998</v>
      </c>
    </row>
    <row r="280" spans="1:3" x14ac:dyDescent="0.25">
      <c r="A280" s="84">
        <v>46212.5717939815</v>
      </c>
      <c r="B280" s="85" t="s">
        <v>32</v>
      </c>
      <c r="C280" s="83">
        <v>649.22</v>
      </c>
    </row>
    <row r="281" spans="1:3" x14ac:dyDescent="0.25">
      <c r="A281" s="84">
        <v>46212.572071759299</v>
      </c>
      <c r="B281" s="85" t="s">
        <v>30</v>
      </c>
      <c r="C281" s="83">
        <v>283.79000000000002</v>
      </c>
    </row>
    <row r="282" spans="1:3" x14ac:dyDescent="0.25">
      <c r="A282" s="84">
        <v>46212.5722916667</v>
      </c>
      <c r="B282" s="85" t="s">
        <v>32</v>
      </c>
      <c r="C282" s="83">
        <v>289.95</v>
      </c>
    </row>
    <row r="283" spans="1:3" x14ac:dyDescent="0.25">
      <c r="A283" s="84">
        <v>46212.573020833297</v>
      </c>
      <c r="B283" s="85" t="s">
        <v>32</v>
      </c>
      <c r="C283" s="83">
        <v>189.83</v>
      </c>
    </row>
    <row r="284" spans="1:3" x14ac:dyDescent="0.25">
      <c r="A284" s="84">
        <v>46212.573530092603</v>
      </c>
      <c r="B284" s="85" t="s">
        <v>32</v>
      </c>
      <c r="C284" s="83">
        <v>33.54</v>
      </c>
    </row>
    <row r="285" spans="1:3" x14ac:dyDescent="0.25">
      <c r="A285" s="84">
        <v>46212.574444444399</v>
      </c>
      <c r="B285" s="85" t="s">
        <v>30</v>
      </c>
      <c r="C285" s="83">
        <v>551.88</v>
      </c>
    </row>
    <row r="286" spans="1:3" x14ac:dyDescent="0.25">
      <c r="A286" s="84">
        <v>46212.575243055602</v>
      </c>
      <c r="B286" s="85" t="s">
        <v>32</v>
      </c>
      <c r="C286" s="83">
        <v>127.7</v>
      </c>
    </row>
    <row r="287" spans="1:3" x14ac:dyDescent="0.25">
      <c r="A287" s="84">
        <v>46212.576203703698</v>
      </c>
      <c r="B287" s="85" t="s">
        <v>30</v>
      </c>
      <c r="C287" s="83">
        <v>1150.6099999999999</v>
      </c>
    </row>
    <row r="288" spans="1:3" x14ac:dyDescent="0.25">
      <c r="A288" s="84">
        <v>46212.576979166697</v>
      </c>
      <c r="B288" s="85" t="s">
        <v>30</v>
      </c>
      <c r="C288" s="83">
        <v>286.67</v>
      </c>
    </row>
    <row r="289" spans="1:3" x14ac:dyDescent="0.25">
      <c r="A289" s="84">
        <v>46212.5778125</v>
      </c>
      <c r="B289" s="85" t="s">
        <v>30</v>
      </c>
      <c r="C289" s="83">
        <v>77.819999999999993</v>
      </c>
    </row>
    <row r="290" spans="1:3" x14ac:dyDescent="0.25">
      <c r="A290" s="84">
        <v>46212.579317129603</v>
      </c>
      <c r="B290" s="85" t="s">
        <v>32</v>
      </c>
      <c r="C290" s="83">
        <v>175.4</v>
      </c>
    </row>
    <row r="291" spans="1:3" x14ac:dyDescent="0.25">
      <c r="A291" s="84">
        <v>46212.580949074101</v>
      </c>
      <c r="B291" s="85" t="s">
        <v>31</v>
      </c>
      <c r="C291" s="83">
        <v>27.53</v>
      </c>
    </row>
    <row r="292" spans="1:3" x14ac:dyDescent="0.25">
      <c r="A292" s="84">
        <v>46212.5812731482</v>
      </c>
      <c r="B292" s="85" t="s">
        <v>31</v>
      </c>
      <c r="C292" s="83">
        <v>237.13</v>
      </c>
    </row>
    <row r="293" spans="1:3" x14ac:dyDescent="0.25">
      <c r="A293" s="84">
        <v>46212.581608796303</v>
      </c>
      <c r="B293" s="85" t="s">
        <v>32</v>
      </c>
      <c r="C293" s="83">
        <v>289.94</v>
      </c>
    </row>
    <row r="294" spans="1:3" x14ac:dyDescent="0.25">
      <c r="A294" s="84">
        <v>46212.581863425898</v>
      </c>
      <c r="B294" s="85" t="s">
        <v>32</v>
      </c>
      <c r="C294" s="83">
        <v>98.79</v>
      </c>
    </row>
    <row r="295" spans="1:3" x14ac:dyDescent="0.25">
      <c r="A295" s="84">
        <v>46212.585497685199</v>
      </c>
      <c r="B295" s="85" t="s">
        <v>31</v>
      </c>
      <c r="C295" s="83">
        <v>174.59</v>
      </c>
    </row>
    <row r="296" spans="1:3" x14ac:dyDescent="0.25">
      <c r="A296" s="84">
        <v>46212.586145833302</v>
      </c>
      <c r="B296" s="85" t="s">
        <v>32</v>
      </c>
      <c r="C296" s="83">
        <v>185.31</v>
      </c>
    </row>
    <row r="297" spans="1:3" x14ac:dyDescent="0.25">
      <c r="A297" s="84">
        <v>46212.586678240703</v>
      </c>
      <c r="B297" s="85" t="s">
        <v>32</v>
      </c>
      <c r="C297" s="83">
        <v>255.49</v>
      </c>
    </row>
    <row r="298" spans="1:3" x14ac:dyDescent="0.25">
      <c r="A298" s="84">
        <v>46212.588576388902</v>
      </c>
      <c r="B298" s="85" t="s">
        <v>32</v>
      </c>
      <c r="C298" s="83">
        <v>251.87</v>
      </c>
    </row>
    <row r="299" spans="1:3" x14ac:dyDescent="0.25">
      <c r="A299" s="84">
        <v>46212.589722222197</v>
      </c>
      <c r="B299" s="85" t="s">
        <v>32</v>
      </c>
      <c r="C299" s="83">
        <v>1053.44</v>
      </c>
    </row>
    <row r="300" spans="1:3" x14ac:dyDescent="0.25">
      <c r="A300" s="84">
        <v>46212.590115740699</v>
      </c>
      <c r="B300" s="85" t="s">
        <v>31</v>
      </c>
      <c r="C300" s="83">
        <v>276.69</v>
      </c>
    </row>
    <row r="301" spans="1:3" x14ac:dyDescent="0.25">
      <c r="A301" s="84">
        <v>46212.591157407398</v>
      </c>
      <c r="B301" s="85" t="s">
        <v>31</v>
      </c>
      <c r="C301" s="83">
        <v>632.88</v>
      </c>
    </row>
    <row r="302" spans="1:3" x14ac:dyDescent="0.25">
      <c r="A302" s="84">
        <v>46212.591435185197</v>
      </c>
      <c r="B302" s="85" t="s">
        <v>32</v>
      </c>
      <c r="C302" s="83">
        <v>39.409999999999997</v>
      </c>
    </row>
    <row r="303" spans="1:3" x14ac:dyDescent="0.25">
      <c r="A303" s="84">
        <v>46212.5925347222</v>
      </c>
      <c r="B303" s="85" t="s">
        <v>32</v>
      </c>
      <c r="C303" s="83">
        <v>267.02</v>
      </c>
    </row>
    <row r="304" spans="1:3" x14ac:dyDescent="0.25">
      <c r="A304" s="84">
        <v>46212.592858796299</v>
      </c>
      <c r="B304" s="85" t="s">
        <v>32</v>
      </c>
      <c r="C304" s="83">
        <v>285.25</v>
      </c>
    </row>
    <row r="305" spans="1:3" x14ac:dyDescent="0.25">
      <c r="A305" s="84">
        <v>46212.595567129603</v>
      </c>
      <c r="B305" s="85" t="s">
        <v>31</v>
      </c>
      <c r="C305" s="83">
        <v>38.44</v>
      </c>
    </row>
    <row r="306" spans="1:3" x14ac:dyDescent="0.25">
      <c r="A306" s="84">
        <v>46212.596550925897</v>
      </c>
      <c r="B306" s="85" t="s">
        <v>31</v>
      </c>
      <c r="C306" s="83">
        <v>195.45</v>
      </c>
    </row>
    <row r="307" spans="1:3" x14ac:dyDescent="0.25">
      <c r="A307" s="84">
        <v>46212.599074074104</v>
      </c>
      <c r="B307" s="85" t="s">
        <v>31</v>
      </c>
      <c r="C307" s="83">
        <v>726.73</v>
      </c>
    </row>
    <row r="308" spans="1:3" x14ac:dyDescent="0.25">
      <c r="A308" s="84">
        <v>46212.599768518499</v>
      </c>
      <c r="B308" s="85" t="s">
        <v>31</v>
      </c>
      <c r="C308" s="83">
        <v>120.28</v>
      </c>
    </row>
    <row r="309" spans="1:3" x14ac:dyDescent="0.25">
      <c r="A309" s="84">
        <v>46212.601875</v>
      </c>
      <c r="B309" s="85" t="s">
        <v>32</v>
      </c>
      <c r="C309" s="83">
        <v>243.45</v>
      </c>
    </row>
    <row r="310" spans="1:3" x14ac:dyDescent="0.25">
      <c r="A310" s="84">
        <v>46212.602303240703</v>
      </c>
      <c r="B310" s="85" t="s">
        <v>30</v>
      </c>
      <c r="C310" s="83">
        <v>289.10000000000002</v>
      </c>
    </row>
    <row r="311" spans="1:3" x14ac:dyDescent="0.25">
      <c r="A311" s="84">
        <v>46212.6023263889</v>
      </c>
      <c r="B311" s="85" t="s">
        <v>32</v>
      </c>
      <c r="C311" s="83">
        <v>287.82</v>
      </c>
    </row>
    <row r="312" spans="1:3" x14ac:dyDescent="0.25">
      <c r="A312" s="84">
        <v>46212.603032407402</v>
      </c>
      <c r="B312" s="85" t="s">
        <v>30</v>
      </c>
      <c r="C312" s="83">
        <v>115.75</v>
      </c>
    </row>
    <row r="313" spans="1:3" x14ac:dyDescent="0.25">
      <c r="A313" s="84">
        <v>46212.603402777801</v>
      </c>
      <c r="B313" s="85" t="s">
        <v>32</v>
      </c>
      <c r="C313" s="83">
        <v>285.27999999999997</v>
      </c>
    </row>
    <row r="314" spans="1:3" x14ac:dyDescent="0.25">
      <c r="A314" s="84">
        <v>46212.604687500003</v>
      </c>
      <c r="B314" s="85" t="s">
        <v>30</v>
      </c>
      <c r="C314" s="83">
        <v>209.96</v>
      </c>
    </row>
    <row r="315" spans="1:3" x14ac:dyDescent="0.25">
      <c r="A315" s="84">
        <v>46212.605150463001</v>
      </c>
      <c r="B315" s="85" t="s">
        <v>32</v>
      </c>
      <c r="C315" s="83">
        <v>116.09</v>
      </c>
    </row>
    <row r="316" spans="1:3" x14ac:dyDescent="0.25">
      <c r="A316" s="84">
        <v>46212.6066319444</v>
      </c>
      <c r="B316" s="85" t="s">
        <v>31</v>
      </c>
      <c r="C316" s="83">
        <v>18.12</v>
      </c>
    </row>
    <row r="317" spans="1:3" x14ac:dyDescent="0.25">
      <c r="A317" s="84">
        <v>46212.6073958333</v>
      </c>
      <c r="B317" s="85" t="s">
        <v>30</v>
      </c>
      <c r="C317" s="83">
        <v>260.43</v>
      </c>
    </row>
    <row r="318" spans="1:3" x14ac:dyDescent="0.25">
      <c r="A318" s="84">
        <v>46212.607928240701</v>
      </c>
      <c r="B318" s="85" t="s">
        <v>31</v>
      </c>
      <c r="C318" s="83">
        <v>210.05</v>
      </c>
    </row>
    <row r="319" spans="1:3" x14ac:dyDescent="0.25">
      <c r="A319" s="84">
        <v>46212.609571759298</v>
      </c>
      <c r="B319" s="85" t="s">
        <v>31</v>
      </c>
      <c r="C319" s="83">
        <v>240.86</v>
      </c>
    </row>
    <row r="320" spans="1:3" x14ac:dyDescent="0.25">
      <c r="A320" s="84">
        <v>46212.612025463</v>
      </c>
      <c r="B320" s="85" t="s">
        <v>32</v>
      </c>
      <c r="C320" s="83">
        <v>218.96</v>
      </c>
    </row>
    <row r="321" spans="1:3" x14ac:dyDescent="0.25">
      <c r="A321" s="84">
        <v>46212.6128356482</v>
      </c>
      <c r="B321" s="85" t="s">
        <v>30</v>
      </c>
      <c r="C321" s="83">
        <v>283.39999999999998</v>
      </c>
    </row>
    <row r="322" spans="1:3" x14ac:dyDescent="0.25">
      <c r="A322" s="84">
        <v>46212.613506944399</v>
      </c>
      <c r="B322" s="85" t="s">
        <v>30</v>
      </c>
      <c r="C322" s="83">
        <v>67.819999999999993</v>
      </c>
    </row>
    <row r="323" spans="1:3" x14ac:dyDescent="0.25">
      <c r="A323" s="84">
        <v>46212.613622685203</v>
      </c>
      <c r="B323" s="85" t="s">
        <v>30</v>
      </c>
      <c r="C323" s="83">
        <v>173.65</v>
      </c>
    </row>
    <row r="324" spans="1:3" x14ac:dyDescent="0.25">
      <c r="A324" s="84">
        <v>46212.615787037001</v>
      </c>
      <c r="B324" s="85" t="s">
        <v>30</v>
      </c>
      <c r="C324" s="83">
        <v>122.13</v>
      </c>
    </row>
    <row r="325" spans="1:3" x14ac:dyDescent="0.25">
      <c r="A325" s="84">
        <v>46212.6158796296</v>
      </c>
      <c r="B325" s="85" t="s">
        <v>31</v>
      </c>
      <c r="C325" s="83">
        <v>120.87</v>
      </c>
    </row>
    <row r="326" spans="1:3" x14ac:dyDescent="0.25">
      <c r="A326" s="84">
        <v>46212.616863425901</v>
      </c>
      <c r="B326" s="85" t="s">
        <v>31</v>
      </c>
      <c r="C326" s="83">
        <v>272.72000000000003</v>
      </c>
    </row>
    <row r="327" spans="1:3" x14ac:dyDescent="0.25">
      <c r="A327" s="84">
        <v>46212.617800925902</v>
      </c>
      <c r="B327" s="85" t="s">
        <v>32</v>
      </c>
      <c r="C327" s="83">
        <v>92.81</v>
      </c>
    </row>
    <row r="328" spans="1:3" x14ac:dyDescent="0.25">
      <c r="A328" s="84">
        <v>46212.618773148199</v>
      </c>
      <c r="B328" s="85" t="s">
        <v>32</v>
      </c>
      <c r="C328" s="83">
        <v>12.3</v>
      </c>
    </row>
    <row r="329" spans="1:3" x14ac:dyDescent="0.25">
      <c r="A329" s="84">
        <v>46212.618784722203</v>
      </c>
      <c r="B329" s="85" t="s">
        <v>32</v>
      </c>
      <c r="C329" s="83">
        <v>671</v>
      </c>
    </row>
    <row r="330" spans="1:3" x14ac:dyDescent="0.25">
      <c r="A330" s="84">
        <v>46212.618935185201</v>
      </c>
      <c r="B330" s="85" t="s">
        <v>30</v>
      </c>
      <c r="C330" s="83">
        <v>246.28</v>
      </c>
    </row>
    <row r="331" spans="1:3" x14ac:dyDescent="0.25">
      <c r="A331" s="84">
        <v>46212.619583333297</v>
      </c>
      <c r="B331" s="85" t="s">
        <v>32</v>
      </c>
      <c r="C331" s="83">
        <v>51.35</v>
      </c>
    </row>
    <row r="332" spans="1:3" x14ac:dyDescent="0.25">
      <c r="A332" s="84">
        <v>46212.620798611097</v>
      </c>
      <c r="B332" s="85" t="s">
        <v>31</v>
      </c>
      <c r="C332" s="83">
        <v>120.57</v>
      </c>
    </row>
    <row r="333" spans="1:3" x14ac:dyDescent="0.25">
      <c r="A333" s="84">
        <v>46212.621759259302</v>
      </c>
      <c r="B333" s="85" t="s">
        <v>32</v>
      </c>
      <c r="C333" s="83">
        <v>42.72</v>
      </c>
    </row>
    <row r="334" spans="1:3" x14ac:dyDescent="0.25">
      <c r="A334" s="84">
        <v>46212.622442129599</v>
      </c>
      <c r="B334" s="85" t="s">
        <v>30</v>
      </c>
      <c r="C334" s="83">
        <v>262.33</v>
      </c>
    </row>
    <row r="335" spans="1:3" x14ac:dyDescent="0.25">
      <c r="A335" s="84">
        <v>46212.622523148202</v>
      </c>
      <c r="B335" s="85" t="s">
        <v>32</v>
      </c>
      <c r="C335" s="83">
        <v>235.31</v>
      </c>
    </row>
    <row r="336" spans="1:3" x14ac:dyDescent="0.25">
      <c r="A336" s="84">
        <v>46212.622696759303</v>
      </c>
      <c r="B336" s="85" t="s">
        <v>31</v>
      </c>
      <c r="C336" s="83">
        <v>62.66</v>
      </c>
    </row>
    <row r="337" spans="1:3" x14ac:dyDescent="0.25">
      <c r="A337" s="84">
        <v>46212.623090277797</v>
      </c>
      <c r="B337" s="85" t="s">
        <v>32</v>
      </c>
      <c r="C337" s="83">
        <v>331.58</v>
      </c>
    </row>
    <row r="338" spans="1:3" x14ac:dyDescent="0.25">
      <c r="A338" s="84">
        <v>46212.623252314799</v>
      </c>
      <c r="B338" s="85" t="s">
        <v>31</v>
      </c>
      <c r="C338" s="83">
        <v>167.89</v>
      </c>
    </row>
    <row r="339" spans="1:3" x14ac:dyDescent="0.25">
      <c r="A339" s="84">
        <v>46212.624398148197</v>
      </c>
      <c r="B339" s="85" t="s">
        <v>32</v>
      </c>
      <c r="C339" s="83">
        <v>55.65</v>
      </c>
    </row>
    <row r="340" spans="1:3" x14ac:dyDescent="0.25">
      <c r="A340" s="84">
        <v>46212.626018518502</v>
      </c>
      <c r="B340" s="85" t="s">
        <v>32</v>
      </c>
      <c r="C340" s="83">
        <v>235.26</v>
      </c>
    </row>
    <row r="341" spans="1:3" x14ac:dyDescent="0.25">
      <c r="A341" s="84">
        <v>46212.626064814802</v>
      </c>
      <c r="B341" s="85" t="s">
        <v>30</v>
      </c>
      <c r="C341" s="83">
        <v>244.78</v>
      </c>
    </row>
    <row r="342" spans="1:3" x14ac:dyDescent="0.25">
      <c r="A342" s="84">
        <v>46212.627824074101</v>
      </c>
      <c r="B342" s="85" t="s">
        <v>32</v>
      </c>
      <c r="C342" s="83">
        <v>200.76</v>
      </c>
    </row>
    <row r="343" spans="1:3" x14ac:dyDescent="0.25">
      <c r="A343" s="84">
        <v>46212.629259259302</v>
      </c>
      <c r="B343" s="85" t="s">
        <v>32</v>
      </c>
      <c r="C343" s="83">
        <v>273.16000000000003</v>
      </c>
    </row>
    <row r="344" spans="1:3" x14ac:dyDescent="0.25">
      <c r="A344" s="84">
        <v>46212.6307407407</v>
      </c>
      <c r="B344" s="85" t="s">
        <v>30</v>
      </c>
      <c r="C344" s="83">
        <v>197.23</v>
      </c>
    </row>
    <row r="345" spans="1:3" x14ac:dyDescent="0.25">
      <c r="A345" s="84">
        <v>46212.632581018501</v>
      </c>
      <c r="B345" s="85" t="s">
        <v>31</v>
      </c>
      <c r="C345" s="83">
        <v>163.94</v>
      </c>
    </row>
    <row r="346" spans="1:3" x14ac:dyDescent="0.25">
      <c r="A346" s="84">
        <v>46212.6328587963</v>
      </c>
      <c r="B346" s="85" t="s">
        <v>32</v>
      </c>
      <c r="C346" s="83">
        <v>280.26</v>
      </c>
    </row>
    <row r="347" spans="1:3" x14ac:dyDescent="0.25">
      <c r="A347" s="84">
        <v>46212.632939814801</v>
      </c>
      <c r="B347" s="85" t="s">
        <v>32</v>
      </c>
      <c r="C347" s="83">
        <v>139.52000000000001</v>
      </c>
    </row>
    <row r="348" spans="1:3" x14ac:dyDescent="0.25">
      <c r="A348" s="84">
        <v>46212.633090277799</v>
      </c>
      <c r="B348" s="85" t="s">
        <v>30</v>
      </c>
      <c r="C348" s="83">
        <v>102.32</v>
      </c>
    </row>
    <row r="349" spans="1:3" x14ac:dyDescent="0.25">
      <c r="A349" s="84">
        <v>46212.633564814802</v>
      </c>
      <c r="B349" s="85" t="s">
        <v>32</v>
      </c>
      <c r="C349" s="83">
        <v>694.76</v>
      </c>
    </row>
    <row r="350" spans="1:3" x14ac:dyDescent="0.25">
      <c r="A350" s="84">
        <v>46212.633761574099</v>
      </c>
      <c r="B350" s="85" t="s">
        <v>31</v>
      </c>
      <c r="C350" s="83">
        <v>267.86</v>
      </c>
    </row>
    <row r="351" spans="1:3" x14ac:dyDescent="0.25">
      <c r="A351" s="84">
        <v>46212.6340740741</v>
      </c>
      <c r="B351" s="85" t="s">
        <v>32</v>
      </c>
      <c r="C351" s="83">
        <v>87.45</v>
      </c>
    </row>
    <row r="352" spans="1:3" x14ac:dyDescent="0.25">
      <c r="A352" s="84">
        <v>46212.6353356482</v>
      </c>
      <c r="B352" s="85" t="s">
        <v>31</v>
      </c>
      <c r="C352" s="83">
        <v>598.83000000000004</v>
      </c>
    </row>
    <row r="353" spans="1:3" x14ac:dyDescent="0.25">
      <c r="A353" s="84">
        <v>46212.635972222197</v>
      </c>
      <c r="B353" s="85" t="s">
        <v>32</v>
      </c>
      <c r="C353" s="83">
        <v>289.81</v>
      </c>
    </row>
    <row r="354" spans="1:3" x14ac:dyDescent="0.25">
      <c r="A354" s="84">
        <v>46212.636828703697</v>
      </c>
      <c r="B354" s="85" t="s">
        <v>30</v>
      </c>
      <c r="C354" s="83">
        <v>706.02</v>
      </c>
    </row>
    <row r="355" spans="1:3" x14ac:dyDescent="0.25">
      <c r="A355" s="84">
        <v>46212.637199074103</v>
      </c>
      <c r="B355" s="85" t="s">
        <v>31</v>
      </c>
      <c r="C355" s="83">
        <v>109.02</v>
      </c>
    </row>
    <row r="356" spans="1:3" x14ac:dyDescent="0.25">
      <c r="A356" s="84">
        <v>46212.637268518498</v>
      </c>
      <c r="B356" s="85" t="s">
        <v>31</v>
      </c>
      <c r="C356" s="83">
        <v>272.43</v>
      </c>
    </row>
    <row r="357" spans="1:3" x14ac:dyDescent="0.25">
      <c r="A357" s="84">
        <v>46212.637673611098</v>
      </c>
      <c r="B357" s="85" t="s">
        <v>32</v>
      </c>
      <c r="C357" s="83">
        <v>134.69</v>
      </c>
    </row>
    <row r="358" spans="1:3" x14ac:dyDescent="0.25">
      <c r="A358" s="84">
        <v>46212.638298611098</v>
      </c>
      <c r="B358" s="85" t="s">
        <v>31</v>
      </c>
      <c r="C358" s="83">
        <v>66.540000000000006</v>
      </c>
    </row>
    <row r="359" spans="1:3" x14ac:dyDescent="0.25">
      <c r="A359" s="84">
        <v>46212.639189814799</v>
      </c>
      <c r="B359" s="85" t="s">
        <v>32</v>
      </c>
      <c r="C359" s="83">
        <v>27.96</v>
      </c>
    </row>
    <row r="360" spans="1:3" x14ac:dyDescent="0.25">
      <c r="A360" s="84">
        <v>46212.640104166698</v>
      </c>
      <c r="B360" s="85" t="s">
        <v>31</v>
      </c>
      <c r="C360" s="83">
        <v>677.58</v>
      </c>
    </row>
    <row r="361" spans="1:3" x14ac:dyDescent="0.25">
      <c r="A361" s="84">
        <v>46212.641759259299</v>
      </c>
      <c r="B361" s="85" t="s">
        <v>32</v>
      </c>
      <c r="C361" s="83">
        <v>137.41</v>
      </c>
    </row>
    <row r="362" spans="1:3" x14ac:dyDescent="0.25">
      <c r="A362" s="84">
        <v>46212.642337963</v>
      </c>
      <c r="B362" s="85" t="s">
        <v>32</v>
      </c>
      <c r="C362" s="83">
        <v>281.45</v>
      </c>
    </row>
    <row r="363" spans="1:3" x14ac:dyDescent="0.25">
      <c r="A363" s="84">
        <v>46212.642523148199</v>
      </c>
      <c r="B363" s="85" t="s">
        <v>32</v>
      </c>
      <c r="C363" s="83">
        <v>295.38</v>
      </c>
    </row>
    <row r="364" spans="1:3" x14ac:dyDescent="0.25">
      <c r="A364" s="84">
        <v>46212.643217592602</v>
      </c>
      <c r="B364" s="85" t="s">
        <v>32</v>
      </c>
      <c r="C364" s="83">
        <v>590.30999999999995</v>
      </c>
    </row>
    <row r="365" spans="1:3" x14ac:dyDescent="0.25">
      <c r="A365" s="84">
        <v>46212.644664351901</v>
      </c>
      <c r="B365" s="85" t="s">
        <v>31</v>
      </c>
      <c r="C365" s="83">
        <v>29.06</v>
      </c>
    </row>
    <row r="366" spans="1:3" x14ac:dyDescent="0.25">
      <c r="A366" s="84">
        <v>46212.644884259302</v>
      </c>
      <c r="B366" s="85" t="s">
        <v>32</v>
      </c>
      <c r="C366" s="83">
        <v>255.54</v>
      </c>
    </row>
    <row r="367" spans="1:3" x14ac:dyDescent="0.25">
      <c r="A367" s="84">
        <v>46212.644918981503</v>
      </c>
      <c r="B367" s="85" t="s">
        <v>32</v>
      </c>
      <c r="C367" s="83">
        <v>185.22</v>
      </c>
    </row>
    <row r="368" spans="1:3" x14ac:dyDescent="0.25">
      <c r="A368" s="84">
        <v>46212.644988425898</v>
      </c>
      <c r="B368" s="85" t="s">
        <v>32</v>
      </c>
      <c r="C368" s="83">
        <v>239.61</v>
      </c>
    </row>
    <row r="369" spans="1:3" x14ac:dyDescent="0.25">
      <c r="A369" s="84">
        <v>46212.6471296296</v>
      </c>
      <c r="B369" s="85" t="s">
        <v>31</v>
      </c>
      <c r="C369" s="83">
        <v>125.42</v>
      </c>
    </row>
    <row r="370" spans="1:3" x14ac:dyDescent="0.25">
      <c r="A370" s="84">
        <v>46212.647789351897</v>
      </c>
      <c r="B370" s="85" t="s">
        <v>31</v>
      </c>
      <c r="C370" s="83">
        <v>153.37</v>
      </c>
    </row>
    <row r="371" spans="1:3" x14ac:dyDescent="0.25">
      <c r="A371" s="84">
        <v>46212.649166666699</v>
      </c>
      <c r="B371" s="85" t="s">
        <v>32</v>
      </c>
      <c r="C371" s="83">
        <v>45.27</v>
      </c>
    </row>
    <row r="372" spans="1:3" x14ac:dyDescent="0.25">
      <c r="A372" s="84">
        <v>46212.650949074101</v>
      </c>
      <c r="B372" s="85" t="s">
        <v>32</v>
      </c>
      <c r="C372" s="83">
        <v>215.66</v>
      </c>
    </row>
    <row r="373" spans="1:3" x14ac:dyDescent="0.25">
      <c r="A373" s="84">
        <v>46212.650983796302</v>
      </c>
      <c r="B373" s="85" t="s">
        <v>32</v>
      </c>
      <c r="C373" s="83">
        <v>272.88</v>
      </c>
    </row>
    <row r="374" spans="1:3" x14ac:dyDescent="0.25">
      <c r="A374" s="84">
        <v>46212.652847222198</v>
      </c>
      <c r="B374" s="85" t="s">
        <v>32</v>
      </c>
      <c r="C374" s="83">
        <v>176.93</v>
      </c>
    </row>
    <row r="375" spans="1:3" x14ac:dyDescent="0.25">
      <c r="A375" s="84">
        <v>46212.653148148202</v>
      </c>
      <c r="B375" s="85" t="s">
        <v>31</v>
      </c>
      <c r="C375" s="83">
        <v>81.38</v>
      </c>
    </row>
    <row r="376" spans="1:3" x14ac:dyDescent="0.25">
      <c r="A376" s="84">
        <v>46212.653564814798</v>
      </c>
      <c r="B376" s="85" t="s">
        <v>32</v>
      </c>
      <c r="C376" s="83">
        <v>188.46</v>
      </c>
    </row>
    <row r="377" spans="1:3" x14ac:dyDescent="0.25">
      <c r="A377" s="84">
        <v>46212.653784722199</v>
      </c>
      <c r="B377" s="85" t="s">
        <v>31</v>
      </c>
      <c r="C377" s="83">
        <v>709.73</v>
      </c>
    </row>
    <row r="378" spans="1:3" x14ac:dyDescent="0.25">
      <c r="A378" s="84">
        <v>46212.654537037</v>
      </c>
      <c r="B378" s="85" t="s">
        <v>30</v>
      </c>
      <c r="C378" s="83">
        <v>53.73</v>
      </c>
    </row>
    <row r="379" spans="1:3" x14ac:dyDescent="0.25">
      <c r="A379" s="84">
        <v>46212.654571759304</v>
      </c>
      <c r="B379" s="85" t="s">
        <v>31</v>
      </c>
      <c r="C379" s="83">
        <v>436.1</v>
      </c>
    </row>
    <row r="380" spans="1:3" x14ac:dyDescent="0.25">
      <c r="A380" s="84">
        <v>46212.6546296296</v>
      </c>
      <c r="B380" s="85" t="s">
        <v>31</v>
      </c>
      <c r="C380" s="83">
        <v>662.03</v>
      </c>
    </row>
    <row r="381" spans="1:3" x14ac:dyDescent="0.25">
      <c r="A381" s="84">
        <v>46212.655636574098</v>
      </c>
      <c r="B381" s="85" t="s">
        <v>32</v>
      </c>
      <c r="C381" s="83">
        <v>257.33</v>
      </c>
    </row>
    <row r="382" spans="1:3" x14ac:dyDescent="0.25">
      <c r="A382" s="84">
        <v>46212.655694444496</v>
      </c>
      <c r="B382" s="85" t="s">
        <v>31</v>
      </c>
      <c r="C382" s="83">
        <v>769.03</v>
      </c>
    </row>
    <row r="383" spans="1:3" x14ac:dyDescent="0.25">
      <c r="A383" s="84">
        <v>46212.655810185199</v>
      </c>
      <c r="B383" s="85" t="s">
        <v>32</v>
      </c>
      <c r="C383" s="83">
        <v>47.47</v>
      </c>
    </row>
    <row r="384" spans="1:3" x14ac:dyDescent="0.25">
      <c r="A384" s="84">
        <v>46212.656076388899</v>
      </c>
      <c r="B384" s="85" t="s">
        <v>32</v>
      </c>
      <c r="C384" s="83">
        <v>111.5</v>
      </c>
    </row>
    <row r="385" spans="1:3" x14ac:dyDescent="0.25">
      <c r="A385" s="84">
        <v>46212.6573263889</v>
      </c>
      <c r="B385" s="85" t="s">
        <v>32</v>
      </c>
      <c r="C385" s="83">
        <v>273.14999999999998</v>
      </c>
    </row>
    <row r="386" spans="1:3" x14ac:dyDescent="0.25">
      <c r="A386" s="84">
        <v>46212.658113425903</v>
      </c>
      <c r="B386" s="85" t="s">
        <v>31</v>
      </c>
      <c r="C386" s="83">
        <v>158.32</v>
      </c>
    </row>
    <row r="387" spans="1:3" x14ac:dyDescent="0.25">
      <c r="A387" s="84">
        <v>46212.658668981501</v>
      </c>
      <c r="B387" s="85" t="s">
        <v>32</v>
      </c>
      <c r="C387" s="83">
        <v>288.29000000000002</v>
      </c>
    </row>
    <row r="388" spans="1:3" x14ac:dyDescent="0.25">
      <c r="A388" s="84">
        <v>46212.658912036997</v>
      </c>
      <c r="B388" s="85" t="s">
        <v>31</v>
      </c>
      <c r="C388" s="83">
        <v>797.86</v>
      </c>
    </row>
    <row r="389" spans="1:3" x14ac:dyDescent="0.25">
      <c r="A389" s="84">
        <v>46212.658969907403</v>
      </c>
      <c r="B389" s="85" t="s">
        <v>32</v>
      </c>
      <c r="C389" s="83">
        <v>14.11</v>
      </c>
    </row>
    <row r="390" spans="1:3" x14ac:dyDescent="0.25">
      <c r="A390" s="84">
        <v>46212.659548611096</v>
      </c>
      <c r="B390" s="85" t="s">
        <v>32</v>
      </c>
      <c r="C390" s="83">
        <v>112.72</v>
      </c>
    </row>
    <row r="391" spans="1:3" x14ac:dyDescent="0.25">
      <c r="A391" s="84">
        <v>46212.660092592603</v>
      </c>
      <c r="B391" s="85" t="s">
        <v>31</v>
      </c>
      <c r="C391" s="83">
        <v>632.16999999999996</v>
      </c>
    </row>
    <row r="392" spans="1:3" x14ac:dyDescent="0.25">
      <c r="A392" s="84">
        <v>46212.660509259302</v>
      </c>
      <c r="B392" s="85" t="s">
        <v>30</v>
      </c>
      <c r="C392" s="83">
        <v>172.46</v>
      </c>
    </row>
    <row r="393" spans="1:3" x14ac:dyDescent="0.25">
      <c r="A393" s="84">
        <v>46212.663217592599</v>
      </c>
      <c r="B393" s="85" t="s">
        <v>30</v>
      </c>
      <c r="C393" s="83">
        <v>289.45999999999998</v>
      </c>
    </row>
    <row r="394" spans="1:3" x14ac:dyDescent="0.25">
      <c r="A394" s="84">
        <v>46212.663888888899</v>
      </c>
      <c r="B394" s="85" t="s">
        <v>32</v>
      </c>
      <c r="C394" s="83">
        <v>192.78</v>
      </c>
    </row>
    <row r="395" spans="1:3" x14ac:dyDescent="0.25">
      <c r="A395" s="84">
        <v>46212.6639699074</v>
      </c>
      <c r="B395" s="85" t="s">
        <v>30</v>
      </c>
      <c r="C395" s="83">
        <v>164.9</v>
      </c>
    </row>
    <row r="396" spans="1:3" x14ac:dyDescent="0.25">
      <c r="A396" s="84">
        <v>46212.664722222202</v>
      </c>
      <c r="B396" s="85" t="s">
        <v>32</v>
      </c>
      <c r="C396" s="83">
        <v>68.09</v>
      </c>
    </row>
    <row r="397" spans="1:3" x14ac:dyDescent="0.25">
      <c r="A397" s="84">
        <v>46212.665300925903</v>
      </c>
      <c r="B397" s="85" t="s">
        <v>32</v>
      </c>
      <c r="C397" s="83">
        <v>52.09</v>
      </c>
    </row>
    <row r="398" spans="1:3" x14ac:dyDescent="0.25">
      <c r="A398" s="84">
        <v>46212.666331018503</v>
      </c>
      <c r="B398" s="85" t="s">
        <v>30</v>
      </c>
      <c r="C398" s="83">
        <v>1489.29</v>
      </c>
    </row>
    <row r="399" spans="1:3" x14ac:dyDescent="0.25">
      <c r="A399" s="84">
        <v>46212.667337963001</v>
      </c>
      <c r="B399" s="85" t="s">
        <v>30</v>
      </c>
      <c r="C399" s="83">
        <v>56.8</v>
      </c>
    </row>
    <row r="400" spans="1:3" x14ac:dyDescent="0.25">
      <c r="A400" s="84">
        <v>46212.667349536998</v>
      </c>
      <c r="B400" s="85" t="s">
        <v>31</v>
      </c>
      <c r="C400" s="83">
        <v>40.78</v>
      </c>
    </row>
    <row r="401" spans="1:3" x14ac:dyDescent="0.25">
      <c r="A401" s="84">
        <v>46212.669236111098</v>
      </c>
      <c r="B401" s="85" t="s">
        <v>31</v>
      </c>
      <c r="C401" s="83">
        <v>54.65</v>
      </c>
    </row>
    <row r="402" spans="1:3" x14ac:dyDescent="0.25">
      <c r="A402" s="84">
        <v>46212.669421296298</v>
      </c>
      <c r="B402" s="85" t="s">
        <v>31</v>
      </c>
      <c r="C402" s="83">
        <v>224.76</v>
      </c>
    </row>
    <row r="403" spans="1:3" x14ac:dyDescent="0.25">
      <c r="A403" s="84">
        <v>46212.670069444401</v>
      </c>
      <c r="B403" s="85" t="s">
        <v>32</v>
      </c>
      <c r="C403" s="83">
        <v>894.49</v>
      </c>
    </row>
    <row r="404" spans="1:3" x14ac:dyDescent="0.25">
      <c r="A404" s="84">
        <v>46212.670173611099</v>
      </c>
      <c r="B404" s="85" t="s">
        <v>31</v>
      </c>
      <c r="C404" s="83">
        <v>222.93</v>
      </c>
    </row>
    <row r="405" spans="1:3" x14ac:dyDescent="0.25">
      <c r="A405" s="84">
        <v>46212.670451388898</v>
      </c>
      <c r="B405" s="85" t="s">
        <v>32</v>
      </c>
      <c r="C405" s="83">
        <v>63.08</v>
      </c>
    </row>
    <row r="406" spans="1:3" x14ac:dyDescent="0.25">
      <c r="A406" s="84">
        <v>46212.670995370398</v>
      </c>
      <c r="B406" s="85" t="s">
        <v>30</v>
      </c>
      <c r="C406" s="83">
        <v>1102.52</v>
      </c>
    </row>
    <row r="407" spans="1:3" x14ac:dyDescent="0.25">
      <c r="A407" s="84">
        <v>46212.671678240702</v>
      </c>
      <c r="B407" s="85" t="s">
        <v>32</v>
      </c>
      <c r="C407" s="83">
        <v>122.99</v>
      </c>
    </row>
    <row r="408" spans="1:3" x14ac:dyDescent="0.25">
      <c r="A408" s="84">
        <v>46212.671712962998</v>
      </c>
      <c r="B408" s="85" t="s">
        <v>31</v>
      </c>
      <c r="C408" s="83">
        <v>219.4</v>
      </c>
    </row>
    <row r="409" spans="1:3" x14ac:dyDescent="0.25">
      <c r="A409" s="84">
        <v>46212.673587963</v>
      </c>
      <c r="B409" s="85" t="s">
        <v>30</v>
      </c>
      <c r="C409" s="83">
        <v>257.97000000000003</v>
      </c>
    </row>
    <row r="410" spans="1:3" x14ac:dyDescent="0.25">
      <c r="A410" s="84">
        <v>46212.675127314797</v>
      </c>
      <c r="B410" s="85" t="s">
        <v>32</v>
      </c>
      <c r="C410" s="83">
        <v>125.08</v>
      </c>
    </row>
    <row r="411" spans="1:3" x14ac:dyDescent="0.25">
      <c r="A411" s="84">
        <v>46212.675636574102</v>
      </c>
      <c r="B411" s="85" t="s">
        <v>31</v>
      </c>
      <c r="C411" s="83">
        <v>250.03</v>
      </c>
    </row>
    <row r="412" spans="1:3" x14ac:dyDescent="0.25">
      <c r="A412" s="84">
        <v>46212.676122685203</v>
      </c>
      <c r="B412" s="85" t="s">
        <v>32</v>
      </c>
      <c r="C412" s="83">
        <v>76.44</v>
      </c>
    </row>
    <row r="413" spans="1:3" x14ac:dyDescent="0.25">
      <c r="A413" s="84">
        <v>46212.676979166703</v>
      </c>
      <c r="B413" s="85" t="s">
        <v>31</v>
      </c>
      <c r="C413" s="83">
        <v>45.39</v>
      </c>
    </row>
    <row r="414" spans="1:3" x14ac:dyDescent="0.25">
      <c r="A414" s="84">
        <v>46212.6824305556</v>
      </c>
      <c r="B414" s="85" t="s">
        <v>31</v>
      </c>
      <c r="C414" s="83">
        <v>267.66000000000003</v>
      </c>
    </row>
    <row r="415" spans="1:3" x14ac:dyDescent="0.25">
      <c r="A415" s="84">
        <v>46212.682812500003</v>
      </c>
      <c r="B415" s="85" t="s">
        <v>32</v>
      </c>
      <c r="C415" s="83">
        <v>60.61</v>
      </c>
    </row>
    <row r="416" spans="1:3" x14ac:dyDescent="0.25">
      <c r="A416" s="84">
        <v>46212.683159722197</v>
      </c>
      <c r="B416" s="85" t="s">
        <v>31</v>
      </c>
      <c r="C416" s="83">
        <v>93.18</v>
      </c>
    </row>
    <row r="417" spans="1:3" x14ac:dyDescent="0.25">
      <c r="A417" s="84">
        <v>46212.683553240699</v>
      </c>
      <c r="B417" s="85" t="s">
        <v>32</v>
      </c>
      <c r="C417" s="83">
        <v>218.83</v>
      </c>
    </row>
    <row r="418" spans="1:3" x14ac:dyDescent="0.25">
      <c r="A418" s="84">
        <v>46212.684710648202</v>
      </c>
      <c r="B418" s="85" t="s">
        <v>31</v>
      </c>
      <c r="C418" s="83">
        <v>101.01</v>
      </c>
    </row>
    <row r="419" spans="1:3" x14ac:dyDescent="0.25">
      <c r="A419" s="84">
        <v>46212.684791666703</v>
      </c>
      <c r="B419" s="85" t="s">
        <v>32</v>
      </c>
      <c r="C419" s="83">
        <v>114.84</v>
      </c>
    </row>
    <row r="420" spans="1:3" x14ac:dyDescent="0.25">
      <c r="A420" s="84">
        <v>46212.687719907401</v>
      </c>
      <c r="B420" s="85" t="s">
        <v>32</v>
      </c>
      <c r="C420" s="83">
        <v>60.54</v>
      </c>
    </row>
    <row r="421" spans="1:3" x14ac:dyDescent="0.25">
      <c r="A421" s="84">
        <v>46212.687754629602</v>
      </c>
      <c r="B421" s="85" t="s">
        <v>31</v>
      </c>
      <c r="C421" s="83">
        <v>35.08</v>
      </c>
    </row>
    <row r="422" spans="1:3" x14ac:dyDescent="0.25">
      <c r="A422" s="84">
        <v>46212.689861111103</v>
      </c>
      <c r="B422" s="85" t="s">
        <v>30</v>
      </c>
      <c r="C422" s="83">
        <v>32.47</v>
      </c>
    </row>
    <row r="423" spans="1:3" x14ac:dyDescent="0.25">
      <c r="A423" s="84">
        <v>46212.692314814798</v>
      </c>
      <c r="B423" s="85" t="s">
        <v>31</v>
      </c>
      <c r="C423" s="83">
        <v>105.69</v>
      </c>
    </row>
    <row r="424" spans="1:3" x14ac:dyDescent="0.25">
      <c r="A424" s="84">
        <v>46212.692824074104</v>
      </c>
      <c r="B424" s="85" t="s">
        <v>32</v>
      </c>
      <c r="C424" s="83">
        <v>204.45</v>
      </c>
    </row>
    <row r="425" spans="1:3" x14ac:dyDescent="0.25">
      <c r="A425" s="84">
        <v>46212.693101851903</v>
      </c>
      <c r="B425" s="85" t="s">
        <v>31</v>
      </c>
      <c r="C425" s="83">
        <v>295.58</v>
      </c>
    </row>
    <row r="426" spans="1:3" x14ac:dyDescent="0.25">
      <c r="A426" s="84">
        <v>46212.693229166704</v>
      </c>
      <c r="B426" s="85" t="s">
        <v>31</v>
      </c>
      <c r="C426" s="83">
        <v>154.03</v>
      </c>
    </row>
    <row r="427" spans="1:3" x14ac:dyDescent="0.25">
      <c r="A427" s="84">
        <v>46212.693310185197</v>
      </c>
      <c r="B427" s="85" t="s">
        <v>31</v>
      </c>
      <c r="C427" s="83">
        <v>242.99</v>
      </c>
    </row>
    <row r="428" spans="1:3" x14ac:dyDescent="0.25">
      <c r="A428" s="84">
        <v>46212.693703703699</v>
      </c>
      <c r="B428" s="85" t="s">
        <v>31</v>
      </c>
      <c r="C428" s="83">
        <v>58.93</v>
      </c>
    </row>
    <row r="429" spans="1:3" x14ac:dyDescent="0.25">
      <c r="A429" s="84">
        <v>46212.695243055598</v>
      </c>
      <c r="B429" s="85" t="s">
        <v>30</v>
      </c>
      <c r="C429" s="83">
        <v>30.62</v>
      </c>
    </row>
    <row r="430" spans="1:3" x14ac:dyDescent="0.25">
      <c r="A430" s="84">
        <v>46212.6957175926</v>
      </c>
      <c r="B430" s="85" t="s">
        <v>30</v>
      </c>
      <c r="C430" s="83">
        <v>49.43</v>
      </c>
    </row>
    <row r="431" spans="1:3" x14ac:dyDescent="0.25">
      <c r="A431" s="84">
        <v>46212.696180555598</v>
      </c>
      <c r="B431" s="85" t="s">
        <v>31</v>
      </c>
      <c r="C431" s="83">
        <v>31.25</v>
      </c>
    </row>
    <row r="432" spans="1:3" x14ac:dyDescent="0.25">
      <c r="A432" s="84">
        <v>46212.696446759299</v>
      </c>
      <c r="B432" s="85" t="s">
        <v>32</v>
      </c>
      <c r="C432" s="83">
        <v>217.77</v>
      </c>
    </row>
    <row r="433" spans="1:3" x14ac:dyDescent="0.25">
      <c r="A433" s="84">
        <v>46212.697060185201</v>
      </c>
      <c r="B433" s="85" t="s">
        <v>30</v>
      </c>
      <c r="C433" s="83">
        <v>144.19999999999999</v>
      </c>
    </row>
    <row r="434" spans="1:3" x14ac:dyDescent="0.25">
      <c r="A434" s="84">
        <v>46212.697337963</v>
      </c>
      <c r="B434" s="85" t="s">
        <v>31</v>
      </c>
      <c r="C434" s="83">
        <v>20.54</v>
      </c>
    </row>
    <row r="435" spans="1:3" x14ac:dyDescent="0.25">
      <c r="A435" s="84">
        <v>46212.698321759301</v>
      </c>
      <c r="B435" s="85" t="s">
        <v>30</v>
      </c>
      <c r="C435" s="83">
        <v>31.52</v>
      </c>
    </row>
    <row r="436" spans="1:3" x14ac:dyDescent="0.25">
      <c r="A436" s="84">
        <v>46212.700636574104</v>
      </c>
      <c r="B436" s="85" t="s">
        <v>32</v>
      </c>
      <c r="C436" s="83">
        <v>438.79</v>
      </c>
    </row>
    <row r="437" spans="1:3" x14ac:dyDescent="0.25">
      <c r="A437" s="84">
        <v>46212.701180555603</v>
      </c>
      <c r="B437" s="85" t="s">
        <v>31</v>
      </c>
      <c r="C437" s="83">
        <v>1011.22</v>
      </c>
    </row>
    <row r="438" spans="1:3" x14ac:dyDescent="0.25">
      <c r="A438" s="84">
        <v>46212.701226851903</v>
      </c>
      <c r="B438" s="85" t="s">
        <v>32</v>
      </c>
      <c r="C438" s="83">
        <v>231.75</v>
      </c>
    </row>
    <row r="439" spans="1:3" x14ac:dyDescent="0.25">
      <c r="A439" s="84">
        <v>46212.7015972222</v>
      </c>
      <c r="B439" s="85" t="s">
        <v>32</v>
      </c>
      <c r="C439" s="83">
        <v>177.26</v>
      </c>
    </row>
    <row r="440" spans="1:3" x14ac:dyDescent="0.25">
      <c r="A440" s="84">
        <v>46212.703113425901</v>
      </c>
      <c r="B440" s="85" t="s">
        <v>32</v>
      </c>
      <c r="C440" s="83">
        <v>198.14</v>
      </c>
    </row>
    <row r="441" spans="1:3" x14ac:dyDescent="0.25">
      <c r="A441" s="84">
        <v>46212.705023148199</v>
      </c>
      <c r="B441" s="85" t="s">
        <v>32</v>
      </c>
      <c r="C441" s="83">
        <v>194.85</v>
      </c>
    </row>
    <row r="442" spans="1:3" x14ac:dyDescent="0.25">
      <c r="A442" s="84">
        <v>46212.707141203697</v>
      </c>
      <c r="B442" s="85" t="s">
        <v>32</v>
      </c>
      <c r="C442" s="83">
        <v>175.78</v>
      </c>
    </row>
    <row r="443" spans="1:3" x14ac:dyDescent="0.25">
      <c r="A443" s="84">
        <v>46212.708310185197</v>
      </c>
      <c r="B443" s="85" t="s">
        <v>30</v>
      </c>
      <c r="C443" s="83">
        <v>68.87</v>
      </c>
    </row>
    <row r="444" spans="1:3" x14ac:dyDescent="0.25">
      <c r="A444" s="84">
        <v>46212.708437499998</v>
      </c>
      <c r="B444" s="85" t="s">
        <v>31</v>
      </c>
      <c r="C444" s="83">
        <v>120.85</v>
      </c>
    </row>
    <row r="445" spans="1:3" x14ac:dyDescent="0.25">
      <c r="A445" s="84">
        <v>46212.709247685198</v>
      </c>
      <c r="B445" s="85" t="s">
        <v>32</v>
      </c>
      <c r="C445" s="83">
        <v>158.62</v>
      </c>
    </row>
    <row r="446" spans="1:3" x14ac:dyDescent="0.25">
      <c r="A446" s="84">
        <v>46212.710243055597</v>
      </c>
      <c r="B446" s="85" t="s">
        <v>31</v>
      </c>
      <c r="C446" s="83">
        <v>107.11</v>
      </c>
    </row>
    <row r="447" spans="1:3" x14ac:dyDescent="0.25">
      <c r="A447" s="84">
        <v>46212.710694444497</v>
      </c>
      <c r="B447" s="85" t="s">
        <v>32</v>
      </c>
      <c r="C447" s="83">
        <v>55.98</v>
      </c>
    </row>
    <row r="448" spans="1:3" x14ac:dyDescent="0.25">
      <c r="A448" s="84">
        <v>46212.712349537003</v>
      </c>
      <c r="B448" s="85" t="s">
        <v>31</v>
      </c>
      <c r="C448" s="83">
        <v>16.82</v>
      </c>
    </row>
    <row r="449" spans="1:3" x14ac:dyDescent="0.25">
      <c r="A449" s="84">
        <v>46212.713958333297</v>
      </c>
      <c r="B449" s="85" t="s">
        <v>32</v>
      </c>
      <c r="C449" s="83">
        <v>463.37</v>
      </c>
    </row>
    <row r="450" spans="1:3" x14ac:dyDescent="0.25">
      <c r="A450" s="84">
        <v>46212.713981481502</v>
      </c>
      <c r="B450" s="85" t="s">
        <v>32</v>
      </c>
      <c r="C450" s="83">
        <v>241.87</v>
      </c>
    </row>
    <row r="451" spans="1:3" x14ac:dyDescent="0.25">
      <c r="A451" s="84">
        <v>46212.714502314797</v>
      </c>
      <c r="B451" s="85" t="s">
        <v>32</v>
      </c>
      <c r="C451" s="83">
        <v>24.48</v>
      </c>
    </row>
    <row r="452" spans="1:3" x14ac:dyDescent="0.25">
      <c r="A452" s="84">
        <v>46212.715138888903</v>
      </c>
      <c r="B452" s="85" t="s">
        <v>32</v>
      </c>
      <c r="C452" s="83">
        <v>1178.56</v>
      </c>
    </row>
    <row r="453" spans="1:3" x14ac:dyDescent="0.25">
      <c r="A453" s="84">
        <v>46212.715208333299</v>
      </c>
      <c r="B453" s="85" t="s">
        <v>32</v>
      </c>
      <c r="C453" s="83">
        <v>231.13</v>
      </c>
    </row>
    <row r="454" spans="1:3" x14ac:dyDescent="0.25">
      <c r="A454" s="84">
        <v>46212.715358796297</v>
      </c>
      <c r="B454" s="85" t="s">
        <v>32</v>
      </c>
      <c r="C454" s="83">
        <v>139.87</v>
      </c>
    </row>
    <row r="455" spans="1:3" x14ac:dyDescent="0.25">
      <c r="A455" s="84">
        <v>46212.715972222199</v>
      </c>
      <c r="B455" s="85" t="s">
        <v>32</v>
      </c>
      <c r="C455" s="83">
        <v>282.89</v>
      </c>
    </row>
    <row r="456" spans="1:3" x14ac:dyDescent="0.25">
      <c r="A456" s="84">
        <v>46212.716145833299</v>
      </c>
      <c r="B456" s="85" t="s">
        <v>32</v>
      </c>
      <c r="C456" s="83">
        <v>268.25</v>
      </c>
    </row>
    <row r="457" spans="1:3" x14ac:dyDescent="0.25">
      <c r="A457" s="84">
        <v>46212.717453703699</v>
      </c>
      <c r="B457" s="85" t="s">
        <v>32</v>
      </c>
      <c r="C457" s="83">
        <v>1054.1600000000001</v>
      </c>
    </row>
    <row r="458" spans="1:3" x14ac:dyDescent="0.25">
      <c r="A458" s="84">
        <v>46212.717685185198</v>
      </c>
      <c r="B458" s="85" t="s">
        <v>32</v>
      </c>
      <c r="C458" s="83">
        <v>80.84</v>
      </c>
    </row>
    <row r="459" spans="1:3" x14ac:dyDescent="0.25">
      <c r="A459" s="84">
        <v>46212.717777777798</v>
      </c>
      <c r="B459" s="85" t="s">
        <v>32</v>
      </c>
      <c r="C459" s="83">
        <v>67.760000000000005</v>
      </c>
    </row>
    <row r="460" spans="1:3" x14ac:dyDescent="0.25">
      <c r="A460" s="84">
        <v>46212.718819444497</v>
      </c>
      <c r="B460" s="85" t="s">
        <v>31</v>
      </c>
      <c r="C460" s="83">
        <v>89</v>
      </c>
    </row>
    <row r="461" spans="1:3" x14ac:dyDescent="0.25">
      <c r="A461" s="84">
        <v>46212.720856481501</v>
      </c>
      <c r="B461" s="85" t="s">
        <v>32</v>
      </c>
      <c r="C461" s="83">
        <v>144.68</v>
      </c>
    </row>
    <row r="462" spans="1:3" x14ac:dyDescent="0.25">
      <c r="A462" s="84">
        <v>46212.720960648199</v>
      </c>
      <c r="B462" s="85" t="s">
        <v>32</v>
      </c>
      <c r="C462" s="83">
        <v>639.26</v>
      </c>
    </row>
    <row r="463" spans="1:3" x14ac:dyDescent="0.25">
      <c r="A463" s="84">
        <v>46212.721458333297</v>
      </c>
      <c r="B463" s="85" t="s">
        <v>32</v>
      </c>
      <c r="C463" s="83">
        <v>120.25</v>
      </c>
    </row>
    <row r="464" spans="1:3" x14ac:dyDescent="0.25">
      <c r="A464" s="84">
        <v>46212.722418981502</v>
      </c>
      <c r="B464" s="85" t="s">
        <v>32</v>
      </c>
      <c r="C464" s="83">
        <v>117.58</v>
      </c>
    </row>
    <row r="465" spans="1:3" x14ac:dyDescent="0.25">
      <c r="A465" s="84">
        <v>46212.722557870402</v>
      </c>
      <c r="B465" s="85" t="s">
        <v>32</v>
      </c>
      <c r="C465" s="83">
        <v>116.72</v>
      </c>
    </row>
    <row r="466" spans="1:3" x14ac:dyDescent="0.25">
      <c r="A466" s="84">
        <v>46212.723252314798</v>
      </c>
      <c r="B466" s="85" t="s">
        <v>32</v>
      </c>
      <c r="C466" s="83">
        <v>144.18</v>
      </c>
    </row>
    <row r="467" spans="1:3" x14ac:dyDescent="0.25">
      <c r="A467" s="84">
        <v>46212.723715277803</v>
      </c>
      <c r="B467" s="85" t="s">
        <v>31</v>
      </c>
      <c r="C467" s="83">
        <v>78.08</v>
      </c>
    </row>
    <row r="468" spans="1:3" x14ac:dyDescent="0.25">
      <c r="A468" s="84">
        <v>46212.724259259303</v>
      </c>
      <c r="B468" s="85" t="s">
        <v>32</v>
      </c>
      <c r="C468" s="83">
        <v>94.09</v>
      </c>
    </row>
    <row r="469" spans="1:3" x14ac:dyDescent="0.25">
      <c r="A469" s="84">
        <v>46212.724398148202</v>
      </c>
      <c r="B469" s="85" t="s">
        <v>32</v>
      </c>
      <c r="C469" s="83">
        <v>804.3</v>
      </c>
    </row>
    <row r="470" spans="1:3" x14ac:dyDescent="0.25">
      <c r="A470" s="84">
        <v>46212.724560185197</v>
      </c>
      <c r="B470" s="85" t="s">
        <v>31</v>
      </c>
      <c r="C470" s="83">
        <v>111.12</v>
      </c>
    </row>
    <row r="471" spans="1:3" x14ac:dyDescent="0.25">
      <c r="A471" s="84">
        <v>46212.724930555603</v>
      </c>
      <c r="B471" s="85" t="s">
        <v>32</v>
      </c>
      <c r="C471" s="83">
        <v>81.92</v>
      </c>
    </row>
    <row r="472" spans="1:3" x14ac:dyDescent="0.25">
      <c r="A472" s="84">
        <v>46212.725462962997</v>
      </c>
      <c r="B472" s="85" t="s">
        <v>30</v>
      </c>
      <c r="C472" s="83">
        <v>263.64999999999998</v>
      </c>
    </row>
    <row r="473" spans="1:3" x14ac:dyDescent="0.25">
      <c r="A473" s="84">
        <v>46212.725532407399</v>
      </c>
      <c r="B473" s="85" t="s">
        <v>30</v>
      </c>
      <c r="C473" s="83">
        <v>74.209999999999994</v>
      </c>
    </row>
    <row r="474" spans="1:3" x14ac:dyDescent="0.25">
      <c r="A474" s="84">
        <v>46212.729236111103</v>
      </c>
      <c r="B474" s="85" t="s">
        <v>31</v>
      </c>
      <c r="C474" s="83">
        <v>239.6</v>
      </c>
    </row>
    <row r="475" spans="1:3" x14ac:dyDescent="0.25">
      <c r="A475" s="84">
        <v>46212.733229166697</v>
      </c>
      <c r="B475" s="85" t="s">
        <v>32</v>
      </c>
      <c r="C475" s="83">
        <v>175.12</v>
      </c>
    </row>
    <row r="476" spans="1:3" x14ac:dyDescent="0.25">
      <c r="A476" s="84">
        <v>46212.734398148197</v>
      </c>
      <c r="B476" s="85" t="s">
        <v>31</v>
      </c>
      <c r="C476" s="83">
        <v>186.16</v>
      </c>
    </row>
    <row r="477" spans="1:3" x14ac:dyDescent="0.25">
      <c r="A477" s="84">
        <v>46212.734722222202</v>
      </c>
      <c r="B477" s="85" t="s">
        <v>31</v>
      </c>
      <c r="C477" s="83">
        <v>455.09</v>
      </c>
    </row>
    <row r="478" spans="1:3" x14ac:dyDescent="0.25">
      <c r="A478" s="84">
        <v>46212.735613425903</v>
      </c>
      <c r="B478" s="85" t="s">
        <v>31</v>
      </c>
      <c r="C478" s="83">
        <v>176.73</v>
      </c>
    </row>
    <row r="479" spans="1:3" x14ac:dyDescent="0.25">
      <c r="A479" s="84">
        <v>46212.737083333297</v>
      </c>
      <c r="B479" s="85" t="s">
        <v>32</v>
      </c>
      <c r="C479" s="83">
        <v>14.98</v>
      </c>
    </row>
    <row r="480" spans="1:3" x14ac:dyDescent="0.25">
      <c r="A480" s="84">
        <v>46212.737395833297</v>
      </c>
      <c r="B480" s="85" t="s">
        <v>31</v>
      </c>
      <c r="C480" s="83">
        <v>719.76</v>
      </c>
    </row>
    <row r="481" spans="1:3" x14ac:dyDescent="0.25">
      <c r="A481" s="84">
        <v>46212.737928240698</v>
      </c>
      <c r="B481" s="85" t="s">
        <v>32</v>
      </c>
      <c r="C481" s="83">
        <v>182.06</v>
      </c>
    </row>
    <row r="482" spans="1:3" x14ac:dyDescent="0.25">
      <c r="A482" s="84">
        <v>46212.738842592596</v>
      </c>
      <c r="B482" s="85" t="s">
        <v>32</v>
      </c>
      <c r="C482" s="83">
        <v>219.66</v>
      </c>
    </row>
    <row r="483" spans="1:3" x14ac:dyDescent="0.25">
      <c r="A483" s="84">
        <v>46212.739212963003</v>
      </c>
      <c r="B483" s="85" t="s">
        <v>31</v>
      </c>
      <c r="C483" s="83">
        <v>176.93</v>
      </c>
    </row>
    <row r="484" spans="1:3" x14ac:dyDescent="0.25">
      <c r="A484" s="84">
        <v>46212.740543981497</v>
      </c>
      <c r="B484" s="85" t="s">
        <v>31</v>
      </c>
      <c r="C484" s="83">
        <v>265.88</v>
      </c>
    </row>
    <row r="485" spans="1:3" x14ac:dyDescent="0.25">
      <c r="A485" s="84">
        <v>46212.741030092599</v>
      </c>
      <c r="B485" s="85" t="s">
        <v>31</v>
      </c>
      <c r="C485" s="83">
        <v>359.86</v>
      </c>
    </row>
    <row r="486" spans="1:3" x14ac:dyDescent="0.25">
      <c r="A486" s="84">
        <v>46212.741041666697</v>
      </c>
      <c r="B486" s="85" t="s">
        <v>32</v>
      </c>
      <c r="C486" s="83">
        <v>1498.62</v>
      </c>
    </row>
    <row r="487" spans="1:3" x14ac:dyDescent="0.25">
      <c r="A487" s="84">
        <v>46212.741273148204</v>
      </c>
      <c r="B487" s="85" t="s">
        <v>31</v>
      </c>
      <c r="C487" s="83">
        <v>27.75</v>
      </c>
    </row>
    <row r="488" spans="1:3" x14ac:dyDescent="0.25">
      <c r="A488" s="84">
        <v>46212.741597222201</v>
      </c>
      <c r="B488" s="85" t="s">
        <v>32</v>
      </c>
      <c r="C488" s="83">
        <v>757.01</v>
      </c>
    </row>
    <row r="489" spans="1:3" x14ac:dyDescent="0.25">
      <c r="A489" s="84">
        <v>46212.741712962998</v>
      </c>
      <c r="B489" s="85" t="s">
        <v>32</v>
      </c>
      <c r="C489" s="83">
        <v>256.97000000000003</v>
      </c>
    </row>
    <row r="490" spans="1:3" x14ac:dyDescent="0.25">
      <c r="A490" s="84">
        <v>46212.742245370398</v>
      </c>
      <c r="B490" s="85" t="s">
        <v>32</v>
      </c>
      <c r="C490" s="83">
        <v>215.83</v>
      </c>
    </row>
    <row r="491" spans="1:3" x14ac:dyDescent="0.25">
      <c r="A491" s="84">
        <v>46212.7429976852</v>
      </c>
      <c r="B491" s="85" t="s">
        <v>32</v>
      </c>
      <c r="C491" s="83">
        <v>242.1</v>
      </c>
    </row>
    <row r="492" spans="1:3" x14ac:dyDescent="0.25">
      <c r="A492" s="84">
        <v>46212.743344907401</v>
      </c>
      <c r="B492" s="85" t="s">
        <v>32</v>
      </c>
      <c r="C492" s="83">
        <v>20.81</v>
      </c>
    </row>
    <row r="493" spans="1:3" x14ac:dyDescent="0.25">
      <c r="A493" s="84">
        <v>46212.7437152778</v>
      </c>
      <c r="B493" s="85" t="s">
        <v>32</v>
      </c>
      <c r="C493" s="83">
        <v>174.34</v>
      </c>
    </row>
    <row r="494" spans="1:3" x14ac:dyDescent="0.25">
      <c r="A494" s="84">
        <v>46212.744918981502</v>
      </c>
      <c r="B494" s="85" t="s">
        <v>31</v>
      </c>
      <c r="C494" s="83">
        <v>28.59</v>
      </c>
    </row>
    <row r="495" spans="1:3" x14ac:dyDescent="0.25">
      <c r="A495" s="84">
        <v>46212.747291666703</v>
      </c>
      <c r="B495" s="85" t="s">
        <v>31</v>
      </c>
      <c r="C495" s="83">
        <v>25.84</v>
      </c>
    </row>
    <row r="496" spans="1:3" x14ac:dyDescent="0.25">
      <c r="A496" s="84">
        <v>46212.747418981497</v>
      </c>
      <c r="B496" s="85" t="s">
        <v>32</v>
      </c>
      <c r="C496" s="83">
        <v>824.78</v>
      </c>
    </row>
    <row r="497" spans="1:3" x14ac:dyDescent="0.25">
      <c r="A497" s="84">
        <v>46212.747951388897</v>
      </c>
      <c r="B497" s="85" t="s">
        <v>32</v>
      </c>
      <c r="C497" s="83">
        <v>69.17</v>
      </c>
    </row>
    <row r="498" spans="1:3" x14ac:dyDescent="0.25">
      <c r="A498" s="84">
        <v>46212.747951388897</v>
      </c>
      <c r="B498" s="85" t="s">
        <v>30</v>
      </c>
      <c r="C498" s="83">
        <v>124.11</v>
      </c>
    </row>
    <row r="499" spans="1:3" x14ac:dyDescent="0.25">
      <c r="A499" s="84">
        <v>46212.748703703706</v>
      </c>
      <c r="B499" s="85" t="s">
        <v>32</v>
      </c>
      <c r="C499" s="83">
        <v>123.57</v>
      </c>
    </row>
    <row r="500" spans="1:3" x14ac:dyDescent="0.25">
      <c r="A500" s="84">
        <v>46212.749409722222</v>
      </c>
      <c r="B500" s="85" t="s">
        <v>32</v>
      </c>
      <c r="C500" s="83">
        <v>206.49</v>
      </c>
    </row>
    <row r="501" spans="1:3" x14ac:dyDescent="0.25">
      <c r="A501" s="84">
        <v>46212.750856481478</v>
      </c>
      <c r="B501" s="85" t="s">
        <v>32</v>
      </c>
      <c r="C501" s="83">
        <v>282.58</v>
      </c>
    </row>
  </sheetData>
  <sortState xmlns:xlrd2="http://schemas.microsoft.com/office/spreadsheetml/2017/richdata2" ref="A2:C134">
    <sortCondition ref="A1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B3" sqref="B3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2.140625" customWidth="1"/>
    <col min="4" max="7" width="19.5703125" customWidth="1"/>
    <col min="8" max="10" width="19.5703125" bestFit="1" customWidth="1"/>
    <col min="11" max="11" width="10.7109375" customWidth="1"/>
    <col min="12" max="60" width="19.5703125" bestFit="1" customWidth="1"/>
    <col min="61" max="61" width="10.7109375" bestFit="1" customWidth="1"/>
  </cols>
  <sheetData>
    <row r="1" spans="1:3" x14ac:dyDescent="0.25">
      <c r="A1" t="s">
        <v>44</v>
      </c>
      <c r="B1" s="8" t="s">
        <v>45</v>
      </c>
    </row>
    <row r="2" spans="1:3" x14ac:dyDescent="0.25">
      <c r="A2" t="s">
        <v>46</v>
      </c>
      <c r="B2" s="2">
        <v>46212.333333333336</v>
      </c>
    </row>
    <row r="3" spans="1:3" x14ac:dyDescent="0.25">
      <c r="A3" t="s">
        <v>43</v>
      </c>
      <c r="B3" s="2">
        <v>46212.75</v>
      </c>
    </row>
    <row r="6" spans="1:3" x14ac:dyDescent="0.25">
      <c r="A6" s="12" t="s">
        <v>56</v>
      </c>
      <c r="B6" t="s">
        <v>64</v>
      </c>
      <c r="C6" t="s">
        <v>58</v>
      </c>
    </row>
    <row r="7" spans="1:3" x14ac:dyDescent="0.25">
      <c r="A7" s="22">
        <v>46212.333333333336</v>
      </c>
      <c r="B7" s="78">
        <v>51</v>
      </c>
      <c r="C7" s="78">
        <v>42</v>
      </c>
    </row>
    <row r="8" spans="1:3" x14ac:dyDescent="0.25">
      <c r="A8" s="22">
        <v>46212.375</v>
      </c>
      <c r="B8" s="78">
        <v>49</v>
      </c>
      <c r="C8" s="78">
        <v>60</v>
      </c>
    </row>
    <row r="9" spans="1:3" x14ac:dyDescent="0.25">
      <c r="A9" s="22">
        <v>46212.416666666664</v>
      </c>
      <c r="B9" s="78">
        <v>49</v>
      </c>
      <c r="C9" s="78">
        <v>46</v>
      </c>
    </row>
    <row r="10" spans="1:3" x14ac:dyDescent="0.25">
      <c r="A10" s="22">
        <v>46212.458333333336</v>
      </c>
      <c r="B10" s="78">
        <v>36</v>
      </c>
      <c r="C10" s="78">
        <v>44</v>
      </c>
    </row>
    <row r="11" spans="1:3" x14ac:dyDescent="0.25">
      <c r="A11" s="22">
        <v>46212.5</v>
      </c>
      <c r="B11" s="78">
        <v>62</v>
      </c>
      <c r="C11" s="78">
        <v>65</v>
      </c>
    </row>
    <row r="12" spans="1:3" x14ac:dyDescent="0.25">
      <c r="A12" s="22">
        <v>46212.541666666664</v>
      </c>
      <c r="B12" s="78">
        <v>46</v>
      </c>
      <c r="C12" s="78">
        <v>46</v>
      </c>
    </row>
    <row r="13" spans="1:3" x14ac:dyDescent="0.25">
      <c r="A13" s="22">
        <v>46212.583333333336</v>
      </c>
      <c r="B13" s="78">
        <v>45</v>
      </c>
      <c r="C13" s="78">
        <v>43</v>
      </c>
    </row>
    <row r="14" spans="1:3" x14ac:dyDescent="0.25">
      <c r="A14" s="22">
        <v>46212.625</v>
      </c>
      <c r="B14" s="78">
        <v>59</v>
      </c>
      <c r="C14" s="78">
        <v>48</v>
      </c>
    </row>
    <row r="15" spans="1:3" x14ac:dyDescent="0.25">
      <c r="A15" s="22">
        <v>46212.666666666664</v>
      </c>
      <c r="B15" s="78">
        <v>45</v>
      </c>
      <c r="C15" s="78">
        <v>45</v>
      </c>
    </row>
    <row r="16" spans="1:3" x14ac:dyDescent="0.25">
      <c r="A16" s="22">
        <v>46212.708333333336</v>
      </c>
      <c r="B16" s="78">
        <v>57</v>
      </c>
      <c r="C16" s="78">
        <v>45</v>
      </c>
    </row>
    <row r="17" spans="1:3" x14ac:dyDescent="0.25">
      <c r="A17" s="22">
        <v>46212.75</v>
      </c>
      <c r="B17" s="78">
        <v>0</v>
      </c>
      <c r="C17" s="78">
        <v>0</v>
      </c>
    </row>
    <row r="18" spans="1:3" x14ac:dyDescent="0.25">
      <c r="A18" s="14" t="s">
        <v>57</v>
      </c>
      <c r="B18" s="78">
        <v>499</v>
      </c>
      <c r="C18" s="78">
        <v>484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CA3674-FA7F-4B0E-9568-55BE9F0EB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Fechamento 7Pay</vt:lpstr>
      <vt:lpstr>Fechamento Sipag</vt:lpstr>
      <vt:lpstr>Vendas 7Pay</vt:lpstr>
      <vt:lpstr>Vendas Sipag</vt:lpstr>
      <vt:lpstr>Configuração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lipeglauber@gmail.com</cp:lastModifiedBy>
  <dcterms:created xsi:type="dcterms:W3CDTF">2026-05-22T21:22:24Z</dcterms:created>
  <dcterms:modified xsi:type="dcterms:W3CDTF">2026-07-09T20:49:45Z</dcterms:modified>
</cp:coreProperties>
</file>